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이노비즈연수\차세대경영자\지결\"/>
    </mc:Choice>
  </mc:AlternateContent>
  <xr:revisionPtr revIDLastSave="0" documentId="13_ncr:1_{E8FCF773-CA6F-4608-9AC6-E70843FD7921}" xr6:coauthVersionLast="47" xr6:coauthVersionMax="47" xr10:uidLastSave="{00000000-0000-0000-0000-000000000000}"/>
  <bookViews>
    <workbookView xWindow="3180" yWindow="735" windowWidth="23430" windowHeight="13200" activeTab="3" xr2:uid="{404CE508-8F71-4CA4-99F0-0EFB79DB1227}"/>
  </bookViews>
  <sheets>
    <sheet name="항목별" sheetId="9" r:id="rId1"/>
    <sheet name="주차별 지출액" sheetId="13" r:id="rId2"/>
    <sheet name="지출세부내역서" sheetId="1" r:id="rId3"/>
    <sheet name="수익배분" sheetId="12" r:id="rId4"/>
  </sheets>
  <definedNames>
    <definedName name="_xlnm._FilterDatabase" localSheetId="2" hidden="1">지출세부내역서!$B$3:$G$105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9" l="1"/>
  <c r="B38" i="9" s="1"/>
  <c r="D6" i="9"/>
  <c r="C18" i="12" l="1"/>
  <c r="B31" i="9"/>
  <c r="B105" i="1"/>
  <c r="E6" i="13" l="1"/>
  <c r="E7" i="13"/>
  <c r="E8" i="13"/>
  <c r="E9" i="13"/>
  <c r="E10" i="13"/>
  <c r="E11" i="13"/>
  <c r="E12" i="13"/>
  <c r="E13" i="13"/>
  <c r="E14" i="13"/>
  <c r="E15" i="13"/>
  <c r="E16" i="13"/>
  <c r="E5" i="13"/>
  <c r="C4" i="12" l="1"/>
  <c r="C5" i="12" s="1"/>
  <c r="E4" i="12" s="1"/>
  <c r="B18" i="13"/>
  <c r="B9" i="12" l="1"/>
  <c r="D9" i="12" s="1"/>
  <c r="F4" i="12"/>
  <c r="B13" i="12" l="1"/>
  <c r="E13" i="12" l="1"/>
  <c r="B18" i="12"/>
  <c r="D18" i="12" s="1"/>
</calcChain>
</file>

<file path=xl/sharedStrings.xml><?xml version="1.0" encoding="utf-8"?>
<sst xmlns="http://schemas.openxmlformats.org/spreadsheetml/2006/main" count="735" uniqueCount="340">
  <si>
    <t>번호</t>
    <phoneticPr fontId="2" type="noConversion"/>
  </si>
  <si>
    <t>금액</t>
    <phoneticPr fontId="2" type="noConversion"/>
  </si>
  <si>
    <t>내역</t>
    <phoneticPr fontId="2" type="noConversion"/>
  </si>
  <si>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</si>
  <si>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</si>
  <si>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</si>
  <si>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</si>
  <si>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</si>
  <si>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</si>
  <si>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</si>
  <si>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</si>
  <si>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</si>
  <si>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</si>
  <si>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</si>
  <si>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</si>
  <si>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</si>
  <si>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</si>
  <si>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</si>
  <si>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</si>
  <si>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</si>
  <si>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</si>
  <si>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</si>
  <si>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지출방법</t>
    <phoneticPr fontId="2" type="noConversion"/>
  </si>
  <si>
    <t>차수</t>
    <phoneticPr fontId="2" type="noConversion"/>
  </si>
  <si>
    <t>3주차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</si>
  <si>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</si>
  <si>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</si>
  <si>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</si>
  <si>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</si>
  <si>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</si>
  <si>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</si>
  <si>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</si>
  <si>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</si>
  <si>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</si>
  <si>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</si>
  <si>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</si>
  <si>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</si>
  <si>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</si>
  <si>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</si>
  <si>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</si>
  <si>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1주차</t>
    <phoneticPr fontId="2" type="noConversion"/>
  </si>
  <si>
    <t>2주차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</si>
  <si>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</si>
  <si>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</si>
  <si>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</si>
  <si>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</si>
  <si>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</si>
  <si>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</si>
  <si>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</si>
  <si>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</si>
  <si>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</si>
  <si>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합계</t>
    <phoneticPr fontId="2" type="noConversion"/>
  </si>
  <si>
    <t>지출</t>
    <phoneticPr fontId="2" type="noConversion"/>
  </si>
  <si>
    <t>인재의숲</t>
    <phoneticPr fontId="2" type="noConversion"/>
  </si>
  <si>
    <t>수익</t>
    <phoneticPr fontId="2" type="noConversion"/>
  </si>
  <si>
    <t>거래처</t>
    <phoneticPr fontId="2" type="noConversion"/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</si>
  <si>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</si>
  <si>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</si>
  <si>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</si>
  <si>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</si>
  <si>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</si>
  <si>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</si>
  <si>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</si>
  <si>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</si>
  <si>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</si>
  <si>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</si>
  <si>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</si>
  <si>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</si>
  <si>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</si>
  <si>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</si>
  <si>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</si>
  <si>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</si>
  <si>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</si>
  <si>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</si>
  <si>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</si>
  <si>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</si>
  <si>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</si>
  <si>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</si>
  <si>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</si>
  <si>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</si>
  <si>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</si>
  <si>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</si>
  <si>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</si>
  <si>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</si>
  <si>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</si>
  <si>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</si>
  <si>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</si>
  <si>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</si>
  <si>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</si>
  <si>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</si>
  <si>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</si>
  <si>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</si>
  <si>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</si>
  <si>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</si>
  <si>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</si>
  <si>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</si>
  <si>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</si>
  <si>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</si>
  <si>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</si>
  <si>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</si>
  <si>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</si>
  <si>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</si>
  <si>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</si>
  <si>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</si>
  <si>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</si>
  <si>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</si>
  <si>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인건비</t>
    <phoneticPr fontId="2" type="noConversion"/>
  </si>
  <si>
    <t>이노비즈협회</t>
    <phoneticPr fontId="2" type="noConversion"/>
  </si>
  <si>
    <t>자체처리</t>
    <phoneticPr fontId="2" type="noConversion"/>
  </si>
  <si>
    <t>86</t>
  </si>
  <si>
    <t>87</t>
  </si>
  <si>
    <t>88</t>
  </si>
  <si>
    <t>강사료</t>
  </si>
  <si>
    <t>총합계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</si>
  <si>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</si>
  <si>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</si>
  <si>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</si>
  <si>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</si>
  <si>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</si>
  <si>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</si>
  <si>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</si>
  <si>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</si>
  <si>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</si>
  <si>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</si>
  <si>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</si>
  <si>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인쇄비</t>
  </si>
  <si>
    <t>교육전</t>
    <phoneticPr fontId="2" type="noConversion"/>
  </si>
  <si>
    <t>사무용품</t>
    <phoneticPr fontId="2" type="noConversion"/>
  </si>
  <si>
    <t>1~2기 모임</t>
    <phoneticPr fontId="2" type="noConversion"/>
  </si>
  <si>
    <t>우림 닭갈비</t>
    <phoneticPr fontId="2" type="noConversion"/>
  </si>
  <si>
    <t>드림디포</t>
    <phoneticPr fontId="2" type="noConversion"/>
  </si>
  <si>
    <t>카드</t>
    <phoneticPr fontId="2" type="noConversion"/>
  </si>
  <si>
    <t>다과비</t>
    <phoneticPr fontId="2" type="noConversion"/>
  </si>
  <si>
    <t>델리판교이노밸리</t>
    <phoneticPr fontId="2" type="noConversion"/>
  </si>
  <si>
    <t>현금</t>
    <phoneticPr fontId="2" type="noConversion"/>
  </si>
  <si>
    <t>강사료</t>
    <phoneticPr fontId="2" type="noConversion"/>
  </si>
  <si>
    <t>정형권</t>
    <phoneticPr fontId="2" type="noConversion"/>
  </si>
  <si>
    <t>북청집</t>
    <phoneticPr fontId="2" type="noConversion"/>
  </si>
  <si>
    <t>세븐일레븐</t>
    <phoneticPr fontId="2" type="noConversion"/>
  </si>
  <si>
    <t>양평해장국</t>
    <phoneticPr fontId="2" type="noConversion"/>
  </si>
  <si>
    <t>1주차</t>
    <phoneticPr fontId="2" type="noConversion"/>
  </si>
  <si>
    <t>식비</t>
    <phoneticPr fontId="2" type="noConversion"/>
  </si>
  <si>
    <t>정주용</t>
    <phoneticPr fontId="2" type="noConversion"/>
  </si>
  <si>
    <t>장재욱</t>
    <phoneticPr fontId="2" type="noConversion"/>
  </si>
  <si>
    <t>행일미디어</t>
    <phoneticPr fontId="2" type="noConversion"/>
  </si>
  <si>
    <t>세금계산서</t>
    <phoneticPr fontId="2" type="noConversion"/>
  </si>
  <si>
    <t>우림 닭갈비</t>
  </si>
  <si>
    <t>2주차</t>
    <phoneticPr fontId="2" type="noConversion"/>
  </si>
  <si>
    <t>김용진</t>
    <phoneticPr fontId="2" type="noConversion"/>
  </si>
  <si>
    <t>다과비</t>
    <phoneticPr fontId="2" type="noConversion"/>
  </si>
  <si>
    <t>식비</t>
    <phoneticPr fontId="2" type="noConversion"/>
  </si>
  <si>
    <t>류재언</t>
    <phoneticPr fontId="2" type="noConversion"/>
  </si>
  <si>
    <t>군산오징어</t>
    <phoneticPr fontId="2" type="noConversion"/>
  </si>
  <si>
    <t>사무용품</t>
  </si>
  <si>
    <t>이노밸리 카페</t>
    <phoneticPr fontId="2" type="noConversion"/>
  </si>
  <si>
    <t>카드</t>
    <phoneticPr fontId="2" type="noConversion"/>
  </si>
  <si>
    <t>다과비</t>
    <phoneticPr fontId="2" type="noConversion"/>
  </si>
  <si>
    <t>세븐일레븐(3/19)</t>
    <phoneticPr fontId="2" type="noConversion"/>
  </si>
  <si>
    <t>세븐일레븐(3/12)</t>
    <phoneticPr fontId="2" type="noConversion"/>
  </si>
  <si>
    <t>19</t>
  </si>
  <si>
    <t>다과비</t>
    <phoneticPr fontId="2" type="noConversion"/>
  </si>
  <si>
    <t>CU 알펜시아</t>
    <phoneticPr fontId="2" type="noConversion"/>
  </si>
  <si>
    <t>카드</t>
    <phoneticPr fontId="2" type="noConversion"/>
  </si>
  <si>
    <t>4주차</t>
    <phoneticPr fontId="2" type="noConversion"/>
  </si>
  <si>
    <t>식비</t>
    <phoneticPr fontId="2" type="noConversion"/>
  </si>
  <si>
    <t>오대산서울</t>
    <phoneticPr fontId="2" type="noConversion"/>
  </si>
  <si>
    <t>사계절시골밥상</t>
    <phoneticPr fontId="2" type="noConversion"/>
  </si>
  <si>
    <t>클라우드</t>
    <phoneticPr fontId="2" type="noConversion"/>
  </si>
  <si>
    <t>월정사입장권</t>
    <phoneticPr fontId="2" type="noConversion"/>
  </si>
  <si>
    <t>보험료</t>
    <phoneticPr fontId="2" type="noConversion"/>
  </si>
  <si>
    <t>숙박</t>
    <phoneticPr fontId="2" type="noConversion"/>
  </si>
  <si>
    <t>알펜시아리조트</t>
    <phoneticPr fontId="2" type="noConversion"/>
  </si>
  <si>
    <t>LIG</t>
    <phoneticPr fontId="2" type="noConversion"/>
  </si>
  <si>
    <t>신세계</t>
    <phoneticPr fontId="2" type="noConversion"/>
  </si>
  <si>
    <t>뉴대진관광</t>
    <phoneticPr fontId="2" type="noConversion"/>
  </si>
  <si>
    <t>레크레이션</t>
    <phoneticPr fontId="2" type="noConversion"/>
  </si>
  <si>
    <t>다과비</t>
    <phoneticPr fontId="2" type="noConversion"/>
  </si>
  <si>
    <t>세븐일레븐</t>
    <phoneticPr fontId="2" type="noConversion"/>
  </si>
  <si>
    <t>매머드커피</t>
    <phoneticPr fontId="2" type="noConversion"/>
  </si>
  <si>
    <t>식비</t>
    <phoneticPr fontId="2" type="noConversion"/>
  </si>
  <si>
    <t>도미노피자</t>
    <phoneticPr fontId="2" type="noConversion"/>
  </si>
  <si>
    <t>카드</t>
    <phoneticPr fontId="2" type="noConversion"/>
  </si>
  <si>
    <t>푸라닭</t>
    <phoneticPr fontId="2" type="noConversion"/>
  </si>
  <si>
    <t>울프스덴</t>
    <phoneticPr fontId="2" type="noConversion"/>
  </si>
  <si>
    <t>고영</t>
    <phoneticPr fontId="2" type="noConversion"/>
  </si>
  <si>
    <t>현금</t>
    <phoneticPr fontId="2" type="noConversion"/>
  </si>
  <si>
    <t>정주용</t>
    <phoneticPr fontId="2" type="noConversion"/>
  </si>
  <si>
    <t>장영균</t>
    <phoneticPr fontId="2" type="noConversion"/>
  </si>
  <si>
    <t>식비</t>
    <phoneticPr fontId="2" type="noConversion"/>
  </si>
  <si>
    <t>스시가오</t>
    <phoneticPr fontId="2" type="noConversion"/>
  </si>
  <si>
    <t>김경일</t>
    <phoneticPr fontId="2" type="noConversion"/>
  </si>
  <si>
    <t>대관료</t>
    <phoneticPr fontId="2" type="noConversion"/>
  </si>
  <si>
    <t>창조경제혁신센터</t>
    <phoneticPr fontId="2" type="noConversion"/>
  </si>
  <si>
    <t>카드</t>
    <phoneticPr fontId="2" type="noConversion"/>
  </si>
  <si>
    <t>다과비</t>
    <phoneticPr fontId="2" type="noConversion"/>
  </si>
  <si>
    <t>식비</t>
    <phoneticPr fontId="2" type="noConversion"/>
  </si>
  <si>
    <t>식비</t>
    <phoneticPr fontId="2" type="noConversion"/>
  </si>
  <si>
    <t>백합칼국수</t>
    <phoneticPr fontId="2" type="noConversion"/>
  </si>
  <si>
    <t>시화나래휴게소</t>
    <phoneticPr fontId="2" type="noConversion"/>
  </si>
  <si>
    <t>이상진</t>
    <phoneticPr fontId="2" type="noConversion"/>
  </si>
  <si>
    <t>식비</t>
    <phoneticPr fontId="2" type="noConversion"/>
  </si>
  <si>
    <t>다과비</t>
    <phoneticPr fontId="2" type="noConversion"/>
  </si>
  <si>
    <t>통이큰낙지</t>
    <phoneticPr fontId="2" type="noConversion"/>
  </si>
  <si>
    <t>세븐일레븐</t>
    <phoneticPr fontId="2" type="noConversion"/>
  </si>
  <si>
    <t>버거킹</t>
    <phoneticPr fontId="2" type="noConversion"/>
  </si>
  <si>
    <t>대관료</t>
  </si>
  <si>
    <t>주차비</t>
  </si>
  <si>
    <t>식비</t>
    <phoneticPr fontId="2" type="noConversion"/>
  </si>
  <si>
    <t>삼정호텔</t>
    <phoneticPr fontId="2" type="noConversion"/>
  </si>
  <si>
    <t>카드</t>
    <phoneticPr fontId="2" type="noConversion"/>
  </si>
  <si>
    <t>기념품</t>
    <phoneticPr fontId="2" type="noConversion"/>
  </si>
  <si>
    <t>플라이쿱</t>
    <phoneticPr fontId="2" type="noConversion"/>
  </si>
  <si>
    <t>인투데코</t>
    <phoneticPr fontId="2" type="noConversion"/>
  </si>
  <si>
    <t>옛골</t>
    <phoneticPr fontId="2" type="noConversion"/>
  </si>
  <si>
    <t>사무용품</t>
    <phoneticPr fontId="2" type="noConversion"/>
  </si>
  <si>
    <t>교재인쇄비</t>
  </si>
  <si>
    <t>현수막 등</t>
  </si>
  <si>
    <t>김기백</t>
    <phoneticPr fontId="2" type="noConversion"/>
  </si>
  <si>
    <t>인건비</t>
  </si>
  <si>
    <t>이노비즈협회</t>
  </si>
  <si>
    <t>자체처리</t>
  </si>
  <si>
    <t>관리단</t>
  </si>
  <si>
    <t>영상제작</t>
  </si>
  <si>
    <t>인재의숲</t>
  </si>
  <si>
    <t>주차비(교육전)</t>
  </si>
  <si>
    <t>대관료(교육전)</t>
  </si>
  <si>
    <t>전체</t>
  </si>
  <si>
    <t>전체</t>
    <phoneticPr fontId="2" type="noConversion"/>
  </si>
  <si>
    <t>12주차</t>
    <phoneticPr fontId="2" type="noConversion"/>
  </si>
  <si>
    <t>1주차</t>
  </si>
  <si>
    <t>교육전</t>
  </si>
  <si>
    <t>액션런닝</t>
    <phoneticPr fontId="2" type="noConversion"/>
  </si>
  <si>
    <t>다과 및 식비</t>
  </si>
  <si>
    <t>다과 및 식비</t>
    <phoneticPr fontId="2" type="noConversion"/>
  </si>
  <si>
    <t>대분류</t>
    <phoneticPr fontId="2" type="noConversion"/>
  </si>
  <si>
    <t>강사료</t>
    <phoneticPr fontId="2" type="noConversion"/>
  </si>
  <si>
    <t>인쇄비</t>
    <phoneticPr fontId="2" type="noConversion"/>
  </si>
  <si>
    <t>교육장 임대</t>
  </si>
  <si>
    <t>교육장 임대</t>
    <phoneticPr fontId="2" type="noConversion"/>
  </si>
  <si>
    <t>워크숍</t>
  </si>
  <si>
    <t>워크숍</t>
    <phoneticPr fontId="2" type="noConversion"/>
  </si>
  <si>
    <t>주차비</t>
    <phoneticPr fontId="2" type="noConversion"/>
  </si>
  <si>
    <t>졸업식</t>
    <phoneticPr fontId="2" type="noConversion"/>
  </si>
  <si>
    <t>인건비</t>
    <phoneticPr fontId="2" type="noConversion"/>
  </si>
  <si>
    <t>임차료</t>
    <phoneticPr fontId="2" type="noConversion"/>
  </si>
  <si>
    <t>특강료</t>
    <phoneticPr fontId="2" type="noConversion"/>
  </si>
  <si>
    <t>- 워크숍 레크레이션 강사</t>
    <phoneticPr fontId="2" type="noConversion"/>
  </si>
  <si>
    <t>- 11회 강사료</t>
    <phoneticPr fontId="2" type="noConversion"/>
  </si>
  <si>
    <t>- 12회 액션런닝(정주용, 장재욱)</t>
    <phoneticPr fontId="2" type="noConversion"/>
  </si>
  <si>
    <t>- 9주 교육장 임차료</t>
    <phoneticPr fontId="2" type="noConversion"/>
  </si>
  <si>
    <t>- 4회 교육장 임차료</t>
    <phoneticPr fontId="2" type="noConversion"/>
  </si>
  <si>
    <t>- 교육기간 커피, 다과 등</t>
    <phoneticPr fontId="2" type="noConversion"/>
  </si>
  <si>
    <t>- 교육 후 식비(석식, 호프)</t>
    <phoneticPr fontId="2" type="noConversion"/>
  </si>
  <si>
    <t>- 교육기간 내 사무용품</t>
    <phoneticPr fontId="2" type="noConversion"/>
  </si>
  <si>
    <t>- 커피, 다과, 물 등</t>
    <phoneticPr fontId="2" type="noConversion"/>
  </si>
  <si>
    <t>- 여행자 보럼 가입</t>
    <phoneticPr fontId="2" type="noConversion"/>
  </si>
  <si>
    <t>- 숙박, 식비, 임차료 등</t>
    <phoneticPr fontId="2" type="noConversion"/>
  </si>
  <si>
    <t>- 중식비</t>
    <phoneticPr fontId="2" type="noConversion"/>
  </si>
  <si>
    <t>- 버스 임차료</t>
    <phoneticPr fontId="2" type="noConversion"/>
  </si>
  <si>
    <t>- 월장자 입장료</t>
    <phoneticPr fontId="2" type="noConversion"/>
  </si>
  <si>
    <t>입장료</t>
    <phoneticPr fontId="2" type="noConversion"/>
  </si>
  <si>
    <t>- 협회 내부 인건비</t>
    <phoneticPr fontId="2" type="noConversion"/>
  </si>
  <si>
    <t>- 강의 교재 인쇄비</t>
    <phoneticPr fontId="2" type="noConversion"/>
  </si>
  <si>
    <t>- 졸업생 제공 기념품</t>
    <phoneticPr fontId="2" type="noConversion"/>
  </si>
  <si>
    <t>- 행사장 임차비 및 식비</t>
    <phoneticPr fontId="2" type="noConversion"/>
  </si>
  <si>
    <t>- 액자 및 행사장 장식용품</t>
    <phoneticPr fontId="2" type="noConversion"/>
  </si>
  <si>
    <t>- 졸업식 영상 제작</t>
    <phoneticPr fontId="2" type="noConversion"/>
  </si>
  <si>
    <t xml:space="preserve">- 무료 세미나 주차비(4시간) </t>
    <phoneticPr fontId="2" type="noConversion"/>
  </si>
  <si>
    <t>- 10주간 주차비(종일 2회, 5시간 8회)</t>
    <phoneticPr fontId="2" type="noConversion"/>
  </si>
  <si>
    <t>구분</t>
  </si>
  <si>
    <t>세부내역</t>
    <phoneticPr fontId="2" type="noConversion"/>
  </si>
  <si>
    <t xml:space="preserve">   강사료</t>
    <phoneticPr fontId="2" type="noConversion"/>
  </si>
  <si>
    <t xml:space="preserve">   액션런닝</t>
    <phoneticPr fontId="2" type="noConversion"/>
  </si>
  <si>
    <t xml:space="preserve">   특강료</t>
    <phoneticPr fontId="2" type="noConversion"/>
  </si>
  <si>
    <t xml:space="preserve">   대관료</t>
    <phoneticPr fontId="2" type="noConversion"/>
  </si>
  <si>
    <t xml:space="preserve">   다과비</t>
    <phoneticPr fontId="2" type="noConversion"/>
  </si>
  <si>
    <t xml:space="preserve">   식비</t>
    <phoneticPr fontId="2" type="noConversion"/>
  </si>
  <si>
    <t xml:space="preserve">   사무용품</t>
    <phoneticPr fontId="2" type="noConversion"/>
  </si>
  <si>
    <t xml:space="preserve">   보험료</t>
    <phoneticPr fontId="2" type="noConversion"/>
  </si>
  <si>
    <t xml:space="preserve">   숙박</t>
    <phoneticPr fontId="2" type="noConversion"/>
  </si>
  <si>
    <t xml:space="preserve">   임차료</t>
    <phoneticPr fontId="2" type="noConversion"/>
  </si>
  <si>
    <t xml:space="preserve">   입장료</t>
    <phoneticPr fontId="2" type="noConversion"/>
  </si>
  <si>
    <t xml:space="preserve">   인건비</t>
    <phoneticPr fontId="2" type="noConversion"/>
  </si>
  <si>
    <t xml:space="preserve">   교재인쇄비</t>
    <phoneticPr fontId="2" type="noConversion"/>
  </si>
  <si>
    <t xml:space="preserve">   기념품</t>
    <phoneticPr fontId="2" type="noConversion"/>
  </si>
  <si>
    <t xml:space="preserve">   영상제작</t>
    <phoneticPr fontId="2" type="noConversion"/>
  </si>
  <si>
    <t xml:space="preserve">   현수막 등</t>
    <phoneticPr fontId="2" type="noConversion"/>
  </si>
  <si>
    <t xml:space="preserve">   주차비</t>
    <phoneticPr fontId="2" type="noConversion"/>
  </si>
  <si>
    <t xml:space="preserve">   주차비(교육전)</t>
    <phoneticPr fontId="2" type="noConversion"/>
  </si>
  <si>
    <t>졸업식</t>
    <phoneticPr fontId="2" type="noConversion"/>
  </si>
  <si>
    <t>금 액</t>
    <phoneticPr fontId="2" type="noConversion"/>
  </si>
  <si>
    <t>- 무료세미나 1~2기 강의</t>
    <phoneticPr fontId="2" type="noConversion"/>
  </si>
  <si>
    <t xml:space="preserve">   대관료(무료세미나)</t>
    <phoneticPr fontId="2" type="noConversion"/>
  </si>
  <si>
    <t xml:space="preserve">   무료세미나</t>
    <phoneticPr fontId="2" type="noConversion"/>
  </si>
  <si>
    <t>협회 실수입액</t>
    <phoneticPr fontId="2" type="noConversion"/>
  </si>
  <si>
    <t>수익분배액</t>
    <phoneticPr fontId="2" type="noConversion"/>
  </si>
  <si>
    <t>인재의숲 실 수입액</t>
    <phoneticPr fontId="2" type="noConversion"/>
  </si>
  <si>
    <t>강사비</t>
    <phoneticPr fontId="2" type="noConversion"/>
  </si>
  <si>
    <t>구분</t>
    <phoneticPr fontId="2" type="noConversion"/>
  </si>
  <si>
    <t>금액(원)</t>
    <phoneticPr fontId="2" type="noConversion"/>
  </si>
  <si>
    <t>수입</t>
    <phoneticPr fontId="2" type="noConversion"/>
  </si>
  <si>
    <t>수익분배(원)</t>
    <phoneticPr fontId="2" type="noConversion"/>
  </si>
  <si>
    <t>교육전</t>
    <phoneticPr fontId="2" type="noConversion"/>
  </si>
  <si>
    <t>임차료, 주차비, 인건비</t>
    <phoneticPr fontId="2" type="noConversion"/>
  </si>
  <si>
    <t>졸업여행</t>
    <phoneticPr fontId="2" type="noConversion"/>
  </si>
  <si>
    <t>세부내용</t>
    <phoneticPr fontId="2" type="noConversion"/>
  </si>
  <si>
    <t>제 3기 차세대 경영자 아카데미 지출액</t>
    <phoneticPr fontId="2" type="noConversion"/>
  </si>
  <si>
    <t>삼성웰스토리</t>
    <phoneticPr fontId="2" type="noConversion"/>
  </si>
  <si>
    <t>무료세미나 4회 진행</t>
    <phoneticPr fontId="2" type="noConversion"/>
  </si>
  <si>
    <t>참석인원</t>
    <phoneticPr fontId="2" type="noConversion"/>
  </si>
  <si>
    <t>입학식, 강사:정형권</t>
    <phoneticPr fontId="2" type="noConversion"/>
  </si>
  <si>
    <t>강사 : 김용진</t>
    <phoneticPr fontId="2" type="noConversion"/>
  </si>
  <si>
    <t>강사 : 류재언</t>
    <phoneticPr fontId="2" type="noConversion"/>
  </si>
  <si>
    <t>강사 : 장재욱, 워크샵</t>
    <phoneticPr fontId="2" type="noConversion"/>
  </si>
  <si>
    <t>강사 : 고영</t>
    <phoneticPr fontId="2" type="noConversion"/>
  </si>
  <si>
    <t>강사 : 정주용</t>
    <phoneticPr fontId="2" type="noConversion"/>
  </si>
  <si>
    <t>강사 : 장영균</t>
    <phoneticPr fontId="2" type="noConversion"/>
  </si>
  <si>
    <t>강사 : 김경일</t>
    <phoneticPr fontId="2" type="noConversion"/>
  </si>
  <si>
    <t>강사 : 심재우</t>
    <phoneticPr fontId="2" type="noConversion"/>
  </si>
  <si>
    <t>강사 : 이상진</t>
    <phoneticPr fontId="2" type="noConversion"/>
  </si>
  <si>
    <t>강사 : 김기백, 졸업식</t>
    <phoneticPr fontId="2" type="noConversion"/>
  </si>
  <si>
    <t>100</t>
  </si>
  <si>
    <t>우편료</t>
    <phoneticPr fontId="2" type="noConversion"/>
  </si>
  <si>
    <t>우체국</t>
    <phoneticPr fontId="2" type="noConversion"/>
  </si>
  <si>
    <t>사무용품</t>
    <phoneticPr fontId="2" type="noConversion"/>
  </si>
  <si>
    <t xml:space="preserve">   우편료</t>
    <phoneticPr fontId="2" type="noConversion"/>
  </si>
  <si>
    <t>- 졸업식 현수막, 사진 제작</t>
    <phoneticPr fontId="2" type="noConversion"/>
  </si>
  <si>
    <t>- 수료증 발송료</t>
    <phoneticPr fontId="2" type="noConversion"/>
  </si>
  <si>
    <t>73%
(평균)</t>
    <phoneticPr fontId="2" type="noConversion"/>
  </si>
  <si>
    <t>참석율</t>
    <phoneticPr fontId="2" type="noConversion"/>
  </si>
  <si>
    <t>101</t>
  </si>
  <si>
    <t>임차비</t>
    <phoneticPr fontId="2" type="noConversion"/>
  </si>
  <si>
    <t>원우수첩 호스팅비</t>
    <phoneticPr fontId="2" type="noConversion"/>
  </si>
  <si>
    <t>슈빅</t>
    <phoneticPr fontId="2" type="noConversion"/>
  </si>
  <si>
    <t>전체</t>
    <phoneticPr fontId="2" type="noConversion"/>
  </si>
  <si>
    <t xml:space="preserve">   호스팅비</t>
    <phoneticPr fontId="2" type="noConversion"/>
  </si>
  <si>
    <t>- 원우수첩 호스팅비</t>
    <phoneticPr fontId="2" type="noConversion"/>
  </si>
  <si>
    <t>인재의숲 지급액</t>
    <phoneticPr fontId="2" type="noConversion"/>
  </si>
  <si>
    <t>합계</t>
    <phoneticPr fontId="2" type="noConversion"/>
  </si>
  <si>
    <t>선지출액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</si>
</sst>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41" fontId="6" fillId="0" borderId="1" xfId="1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41" fontId="7" fillId="0" borderId="1" xfId="1" applyFont="1" applyBorder="1">
      <alignment vertical="center"/>
    </xf>
    <xf numFmtId="0" fontId="7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41" fontId="8" fillId="0" borderId="1" xfId="1" applyFont="1" applyBorder="1">
      <alignment vertical="center"/>
    </xf>
    <xf numFmtId="0" fontId="10" fillId="0" borderId="1" xfId="0" quotePrefix="1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0" xfId="1" applyFont="1">
      <alignment vertical="center"/>
    </xf>
    <xf numFmtId="0" fontId="11" fillId="0" borderId="0" xfId="3" applyFont="1" applyAlignment="1">
      <alignment horizontal="center" vertical="center"/>
    </xf>
    <xf numFmtId="41" fontId="10" fillId="0" borderId="1" xfId="1" applyFont="1" applyFill="1" applyBorder="1" applyAlignment="1">
      <alignment vertical="center"/>
    </xf>
    <xf numFmtId="41" fontId="10" fillId="0" borderId="1" xfId="1" applyFont="1" applyBorder="1">
      <alignment vertical="center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 applyAlignment="1">
      <alignment horizontal="center" vertical="center"/>
    </xf>
    <xf numFmtId="41" fontId="8" fillId="0" borderId="0" xfId="1" applyFont="1">
      <alignment vertical="center"/>
    </xf>
    <xf numFmtId="41" fontId="8" fillId="0" borderId="0" xfId="0" applyNumberFormat="1" applyFont="1">
      <alignment vertical="center"/>
    </xf>
    <xf numFmtId="41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41" fontId="0" fillId="0" borderId="0" xfId="0" applyNumberFormat="1">
      <alignment vertical="center"/>
    </xf>
    <xf numFmtId="9" fontId="7" fillId="0" borderId="1" xfId="4" applyFont="1" applyBorder="1">
      <alignment vertical="center"/>
    </xf>
    <xf numFmtId="9" fontId="7" fillId="0" borderId="1" xfId="0" applyNumberFormat="1" applyFont="1" applyBorder="1">
      <alignment vertical="center"/>
    </xf>
    <xf numFmtId="9" fontId="7" fillId="0" borderId="1" xfId="0" applyNumberFormat="1" applyFont="1" applyBorder="1" applyAlignment="1">
      <alignment horizontal="center" vertical="center" wrapText="1"/>
    </xf>
    <xf numFmtId="41" fontId="8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백분율" xfId="4" builtinId="5"/>
    <cellStyle name="쉼표 [0]" xfId="1" builtinId="6"/>
    <cellStyle name="쉼표 [0] 2" xfId="2" xr:uid="{1C12559E-586C-4189-B532-44667F8E4DC4}"/>
    <cellStyle name="표준" xfId="0" builtinId="0"/>
    <cellStyle name="표준 2" xfId="3" xr:uid="{89690F3D-BEA2-434B-9533-6BCEA15B7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841F-B39F-43EB-8393-A2735793B0BC}">
  <dimension ref="A1:D41"/>
  <sheetViews>
    <sheetView topLeftCell="A31" workbookViewId="0">
      <selection activeCell="E40" sqref="E40"/>
    </sheetView>
  </sheetViews>
  <sheetFormatPr defaultRowHeight="16.5" x14ac:dyDescent="0.3"/>
  <cols>
    <col min="1" max="1" width="19" bestFit="1" customWidth="1"/>
    <col min="2" max="2" width="18" style="1" customWidth="1"/>
    <col min="3" max="3" width="37" customWidth="1"/>
    <col min="4" max="4" width="11.875" bestFit="1" customWidth="1"/>
  </cols>
  <sheetData>
    <row r="1" spans="1:4" ht="26.25" x14ac:dyDescent="0.3">
      <c r="A1" s="42" t="s">
        <v>306</v>
      </c>
      <c r="B1" s="43"/>
      <c r="C1" s="43"/>
    </row>
    <row r="2" spans="1:4" ht="21.6" customHeight="1" x14ac:dyDescent="0.3">
      <c r="A2" s="3" t="s">
        <v>269</v>
      </c>
      <c r="B2" s="4" t="s">
        <v>290</v>
      </c>
      <c r="C2" s="3" t="s">
        <v>270</v>
      </c>
    </row>
    <row r="3" spans="1:4" ht="21.6" customHeight="1" x14ac:dyDescent="0.3">
      <c r="A3" s="5" t="s">
        <v>218</v>
      </c>
      <c r="B3" s="6">
        <v>10800000</v>
      </c>
      <c r="C3" s="7"/>
    </row>
    <row r="4" spans="1:4" ht="21.6" customHeight="1" x14ac:dyDescent="0.3">
      <c r="A4" s="8" t="s">
        <v>282</v>
      </c>
      <c r="B4" s="9">
        <v>10800000</v>
      </c>
      <c r="C4" s="10" t="s">
        <v>261</v>
      </c>
    </row>
    <row r="5" spans="1:4" ht="21.6" customHeight="1" x14ac:dyDescent="0.3">
      <c r="A5" s="5" t="s">
        <v>112</v>
      </c>
      <c r="B5" s="6">
        <f>B6+B7+B8</f>
        <v>31700000</v>
      </c>
      <c r="C5" s="7"/>
    </row>
    <row r="6" spans="1:4" ht="21.6" customHeight="1" x14ac:dyDescent="0.3">
      <c r="A6" s="8" t="s">
        <v>271</v>
      </c>
      <c r="B6" s="9">
        <v>17250000</v>
      </c>
      <c r="C6" s="10" t="s">
        <v>247</v>
      </c>
      <c r="D6" s="37">
        <f>B6-1500000</f>
        <v>15750000</v>
      </c>
    </row>
    <row r="7" spans="1:4" ht="21.6" customHeight="1" x14ac:dyDescent="0.3">
      <c r="A7" s="8" t="s">
        <v>272</v>
      </c>
      <c r="B7" s="9">
        <v>12000000</v>
      </c>
      <c r="C7" s="10" t="s">
        <v>248</v>
      </c>
    </row>
    <row r="8" spans="1:4" ht="21.6" customHeight="1" x14ac:dyDescent="0.3">
      <c r="A8" s="8" t="s">
        <v>273</v>
      </c>
      <c r="B8" s="9">
        <v>2450000</v>
      </c>
      <c r="C8" s="10" t="s">
        <v>246</v>
      </c>
    </row>
    <row r="9" spans="1:4" ht="21.6" customHeight="1" x14ac:dyDescent="0.3">
      <c r="A9" s="5" t="s">
        <v>125</v>
      </c>
      <c r="B9" s="6">
        <v>1592900</v>
      </c>
      <c r="C9" s="7"/>
    </row>
    <row r="10" spans="1:4" ht="21.6" customHeight="1" x14ac:dyDescent="0.3">
      <c r="A10" s="8" t="s">
        <v>283</v>
      </c>
      <c r="B10" s="9">
        <v>1592900</v>
      </c>
      <c r="C10" s="10" t="s">
        <v>262</v>
      </c>
    </row>
    <row r="11" spans="1:4" ht="21.6" customHeight="1" x14ac:dyDescent="0.3">
      <c r="A11" s="5" t="s">
        <v>232</v>
      </c>
      <c r="B11" s="6">
        <v>6794910</v>
      </c>
      <c r="C11" s="7"/>
    </row>
    <row r="12" spans="1:4" ht="21.6" customHeight="1" x14ac:dyDescent="0.3">
      <c r="A12" s="8" t="s">
        <v>293</v>
      </c>
      <c r="B12" s="9">
        <v>365000</v>
      </c>
      <c r="C12" s="10" t="s">
        <v>291</v>
      </c>
    </row>
    <row r="13" spans="1:4" ht="21.6" customHeight="1" x14ac:dyDescent="0.3">
      <c r="A13" s="8" t="s">
        <v>275</v>
      </c>
      <c r="B13" s="9">
        <v>956110</v>
      </c>
      <c r="C13" s="10" t="s">
        <v>251</v>
      </c>
    </row>
    <row r="14" spans="1:4" ht="21.6" customHeight="1" x14ac:dyDescent="0.3">
      <c r="A14" s="8" t="s">
        <v>276</v>
      </c>
      <c r="B14" s="9">
        <v>5473800</v>
      </c>
      <c r="C14" s="10" t="s">
        <v>252</v>
      </c>
    </row>
    <row r="15" spans="1:4" ht="21.6" customHeight="1" x14ac:dyDescent="0.3">
      <c r="A15" s="5" t="s">
        <v>153</v>
      </c>
      <c r="B15" s="6">
        <v>299000</v>
      </c>
      <c r="C15" s="7"/>
    </row>
    <row r="16" spans="1:4" ht="21.6" customHeight="1" x14ac:dyDescent="0.3">
      <c r="A16" s="8" t="s">
        <v>277</v>
      </c>
      <c r="B16" s="9">
        <v>299000</v>
      </c>
      <c r="C16" s="10" t="s">
        <v>253</v>
      </c>
    </row>
    <row r="17" spans="1:3" ht="21.6" customHeight="1" x14ac:dyDescent="0.3">
      <c r="A17" s="5" t="s">
        <v>239</v>
      </c>
      <c r="B17" s="6">
        <v>9035031</v>
      </c>
      <c r="C17" s="7"/>
    </row>
    <row r="18" spans="1:3" ht="21.6" customHeight="1" x14ac:dyDescent="0.3">
      <c r="A18" s="8" t="s">
        <v>275</v>
      </c>
      <c r="B18" s="9">
        <v>125461</v>
      </c>
      <c r="C18" s="10" t="s">
        <v>254</v>
      </c>
    </row>
    <row r="19" spans="1:3" ht="21.6" customHeight="1" x14ac:dyDescent="0.3">
      <c r="A19" s="8" t="s">
        <v>278</v>
      </c>
      <c r="B19" s="9">
        <v>93370</v>
      </c>
      <c r="C19" s="10" t="s">
        <v>255</v>
      </c>
    </row>
    <row r="20" spans="1:3" ht="21.6" customHeight="1" x14ac:dyDescent="0.3">
      <c r="A20" s="8" t="s">
        <v>279</v>
      </c>
      <c r="B20" s="9">
        <v>5264200</v>
      </c>
      <c r="C20" s="10" t="s">
        <v>256</v>
      </c>
    </row>
    <row r="21" spans="1:3" ht="21.6" customHeight="1" x14ac:dyDescent="0.3">
      <c r="A21" s="8" t="s">
        <v>276</v>
      </c>
      <c r="B21" s="9">
        <v>1543000</v>
      </c>
      <c r="C21" s="10" t="s">
        <v>257</v>
      </c>
    </row>
    <row r="22" spans="1:3" ht="21.6" customHeight="1" x14ac:dyDescent="0.3">
      <c r="A22" s="8" t="s">
        <v>280</v>
      </c>
      <c r="B22" s="9">
        <v>2000000</v>
      </c>
      <c r="C22" s="10" t="s">
        <v>258</v>
      </c>
    </row>
    <row r="23" spans="1:3" ht="21.6" customHeight="1" x14ac:dyDescent="0.3">
      <c r="A23" s="8" t="s">
        <v>281</v>
      </c>
      <c r="B23" s="9">
        <v>9000</v>
      </c>
      <c r="C23" s="10" t="s">
        <v>259</v>
      </c>
    </row>
    <row r="24" spans="1:3" ht="21.6" customHeight="1" x14ac:dyDescent="0.3">
      <c r="A24" s="5" t="s">
        <v>289</v>
      </c>
      <c r="B24" s="6">
        <v>10142000</v>
      </c>
      <c r="C24" s="7"/>
    </row>
    <row r="25" spans="1:3" ht="21.6" customHeight="1" x14ac:dyDescent="0.3">
      <c r="A25" s="8" t="s">
        <v>284</v>
      </c>
      <c r="B25" s="9">
        <v>1980000</v>
      </c>
      <c r="C25" s="10" t="s">
        <v>263</v>
      </c>
    </row>
    <row r="26" spans="1:3" ht="21.6" customHeight="1" x14ac:dyDescent="0.3">
      <c r="A26" s="8" t="s">
        <v>277</v>
      </c>
      <c r="B26" s="9">
        <v>1025800</v>
      </c>
      <c r="C26" s="10" t="s">
        <v>265</v>
      </c>
    </row>
    <row r="27" spans="1:3" ht="21.6" customHeight="1" x14ac:dyDescent="0.3">
      <c r="A27" s="8" t="s">
        <v>276</v>
      </c>
      <c r="B27" s="9">
        <v>5187000</v>
      </c>
      <c r="C27" s="10" t="s">
        <v>264</v>
      </c>
    </row>
    <row r="28" spans="1:3" ht="21.6" customHeight="1" x14ac:dyDescent="0.3">
      <c r="A28" s="8" t="s">
        <v>285</v>
      </c>
      <c r="B28" s="9">
        <v>1540000</v>
      </c>
      <c r="C28" s="10" t="s">
        <v>266</v>
      </c>
    </row>
    <row r="29" spans="1:3" ht="21.6" customHeight="1" x14ac:dyDescent="0.3">
      <c r="A29" s="8" t="s">
        <v>286</v>
      </c>
      <c r="B29" s="9">
        <v>387200</v>
      </c>
      <c r="C29" s="10" t="s">
        <v>326</v>
      </c>
    </row>
    <row r="30" spans="1:3" ht="21.6" customHeight="1" x14ac:dyDescent="0.3">
      <c r="A30" s="8" t="s">
        <v>325</v>
      </c>
      <c r="B30" s="9">
        <v>22000</v>
      </c>
      <c r="C30" s="10" t="s">
        <v>327</v>
      </c>
    </row>
    <row r="31" spans="1:3" ht="21.6" customHeight="1" x14ac:dyDescent="0.3">
      <c r="A31" s="5" t="s">
        <v>237</v>
      </c>
      <c r="B31" s="6">
        <f>B32+B33+B34</f>
        <v>2942100</v>
      </c>
      <c r="C31" s="7"/>
    </row>
    <row r="32" spans="1:3" ht="21.6" customHeight="1" x14ac:dyDescent="0.3">
      <c r="A32" s="8" t="s">
        <v>274</v>
      </c>
      <c r="B32" s="9">
        <v>1850100</v>
      </c>
      <c r="C32" s="10" t="s">
        <v>249</v>
      </c>
    </row>
    <row r="33" spans="1:3" ht="21.6" customHeight="1" x14ac:dyDescent="0.3">
      <c r="A33" s="8" t="s">
        <v>292</v>
      </c>
      <c r="B33" s="9">
        <v>960000</v>
      </c>
      <c r="C33" s="10" t="s">
        <v>250</v>
      </c>
    </row>
    <row r="34" spans="1:3" ht="21.6" customHeight="1" x14ac:dyDescent="0.3">
      <c r="A34" s="8" t="s">
        <v>335</v>
      </c>
      <c r="B34" s="9">
        <v>132000</v>
      </c>
      <c r="C34" s="10" t="s">
        <v>336</v>
      </c>
    </row>
    <row r="35" spans="1:3" ht="21.6" customHeight="1" x14ac:dyDescent="0.3">
      <c r="A35" s="5" t="s">
        <v>206</v>
      </c>
      <c r="B35" s="6">
        <v>2160000</v>
      </c>
      <c r="C35" s="11"/>
    </row>
    <row r="36" spans="1:3" ht="21.6" customHeight="1" x14ac:dyDescent="0.3">
      <c r="A36" s="8" t="s">
        <v>287</v>
      </c>
      <c r="B36" s="9">
        <v>1836000</v>
      </c>
      <c r="C36" s="10" t="s">
        <v>268</v>
      </c>
    </row>
    <row r="37" spans="1:3" ht="21.6" customHeight="1" x14ac:dyDescent="0.3">
      <c r="A37" s="8" t="s">
        <v>288</v>
      </c>
      <c r="B37" s="9">
        <v>324000</v>
      </c>
      <c r="C37" s="10" t="s">
        <v>267</v>
      </c>
    </row>
    <row r="38" spans="1:3" ht="21.6" customHeight="1" x14ac:dyDescent="0.3">
      <c r="A38" s="5" t="s">
        <v>51</v>
      </c>
      <c r="B38" s="6">
        <f>B3+B5+B9+B11+B15+B17+B24+B31+B35</f>
        <v>75465941</v>
      </c>
      <c r="C38" s="11"/>
    </row>
    <row r="41" spans="1:3" ht="19.5" x14ac:dyDescent="0.3">
      <c r="B41" s="6"/>
    </row>
  </sheetData>
  <mergeCells count="1">
    <mergeCell ref="A1:C1"/>
  </mergeCells>
  <phoneticPr fontId="2" type="noConversion"/>
  <pageMargins left="0.70866141732283472" right="0.70866141732283472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9F9C-270F-4347-8F58-68BB01DEF976}">
  <dimension ref="A1:E23"/>
  <sheetViews>
    <sheetView topLeftCell="A7" workbookViewId="0">
      <selection activeCell="C10" sqref="C10"/>
    </sheetView>
  </sheetViews>
  <sheetFormatPr defaultRowHeight="16.5" x14ac:dyDescent="0.3"/>
  <cols>
    <col min="1" max="1" width="11.875" bestFit="1" customWidth="1"/>
    <col min="2" max="2" width="16.25" customWidth="1"/>
    <col min="3" max="3" width="33.5" customWidth="1"/>
    <col min="4" max="4" width="10.75" customWidth="1"/>
  </cols>
  <sheetData>
    <row r="1" spans="1:5" ht="26.25" x14ac:dyDescent="0.3">
      <c r="A1" s="42" t="s">
        <v>306</v>
      </c>
      <c r="B1" s="42"/>
      <c r="C1" s="42"/>
      <c r="D1" s="42"/>
    </row>
    <row r="3" spans="1:5" s="28" customFormat="1" ht="40.5" customHeight="1" x14ac:dyDescent="0.3">
      <c r="A3" s="4" t="s">
        <v>298</v>
      </c>
      <c r="B3" s="4" t="s">
        <v>1</v>
      </c>
      <c r="C3" s="3" t="s">
        <v>305</v>
      </c>
      <c r="D3" s="3" t="s">
        <v>309</v>
      </c>
      <c r="E3" s="3" t="s">
        <v>329</v>
      </c>
    </row>
    <row r="4" spans="1:5" s="28" customFormat="1" ht="40.5" customHeight="1" x14ac:dyDescent="0.3">
      <c r="A4" s="22" t="s">
        <v>230</v>
      </c>
      <c r="B4" s="27">
        <v>1998960</v>
      </c>
      <c r="C4" s="8" t="s">
        <v>308</v>
      </c>
      <c r="D4" s="29">
        <v>76</v>
      </c>
      <c r="E4" s="8"/>
    </row>
    <row r="5" spans="1:5" s="28" customFormat="1" ht="40.5" customHeight="1" x14ac:dyDescent="0.3">
      <c r="A5" s="22" t="s">
        <v>229</v>
      </c>
      <c r="B5" s="27">
        <v>4523900</v>
      </c>
      <c r="C5" s="8" t="s">
        <v>310</v>
      </c>
      <c r="D5" s="29">
        <v>31</v>
      </c>
      <c r="E5" s="38">
        <f>D5/31</f>
        <v>1</v>
      </c>
    </row>
    <row r="6" spans="1:5" s="28" customFormat="1" ht="40.5" customHeight="1" x14ac:dyDescent="0.3">
      <c r="A6" s="22" t="s">
        <v>41</v>
      </c>
      <c r="B6" s="27">
        <v>3614200</v>
      </c>
      <c r="C6" s="8" t="s">
        <v>311</v>
      </c>
      <c r="D6" s="29">
        <v>24</v>
      </c>
      <c r="E6" s="38">
        <f t="shared" ref="E6:E16" si="0">D6/31</f>
        <v>0.77419354838709675</v>
      </c>
    </row>
    <row r="7" spans="1:5" s="28" customFormat="1" ht="40.5" customHeight="1" x14ac:dyDescent="0.3">
      <c r="A7" s="22" t="s">
        <v>24</v>
      </c>
      <c r="B7" s="27">
        <v>3864100</v>
      </c>
      <c r="C7" s="8" t="s">
        <v>312</v>
      </c>
      <c r="D7" s="29">
        <v>24</v>
      </c>
      <c r="E7" s="38">
        <f t="shared" si="0"/>
        <v>0.77419354838709675</v>
      </c>
    </row>
    <row r="8" spans="1:5" s="28" customFormat="1" ht="40.5" customHeight="1" x14ac:dyDescent="0.3">
      <c r="A8" s="22" t="s">
        <v>42</v>
      </c>
      <c r="B8" s="27">
        <v>13485031</v>
      </c>
      <c r="C8" s="8" t="s">
        <v>313</v>
      </c>
      <c r="D8" s="29">
        <v>23</v>
      </c>
      <c r="E8" s="38">
        <f t="shared" si="0"/>
        <v>0.74193548387096775</v>
      </c>
    </row>
    <row r="9" spans="1:5" s="28" customFormat="1" ht="40.5" customHeight="1" x14ac:dyDescent="0.3">
      <c r="A9" s="22" t="s">
        <v>43</v>
      </c>
      <c r="B9" s="27">
        <v>2579400</v>
      </c>
      <c r="C9" s="8" t="s">
        <v>314</v>
      </c>
      <c r="D9" s="29">
        <v>20</v>
      </c>
      <c r="E9" s="38">
        <f t="shared" si="0"/>
        <v>0.64516129032258063</v>
      </c>
    </row>
    <row r="10" spans="1:5" s="28" customFormat="1" ht="40.5" customHeight="1" x14ac:dyDescent="0.3">
      <c r="A10" s="22" t="s">
        <v>44</v>
      </c>
      <c r="B10" s="27">
        <v>2443600</v>
      </c>
      <c r="C10" s="8" t="s">
        <v>315</v>
      </c>
      <c r="D10" s="29">
        <v>20</v>
      </c>
      <c r="E10" s="38">
        <f t="shared" si="0"/>
        <v>0.64516129032258063</v>
      </c>
    </row>
    <row r="11" spans="1:5" s="28" customFormat="1" ht="40.5" customHeight="1" x14ac:dyDescent="0.3">
      <c r="A11" s="22" t="s">
        <v>45</v>
      </c>
      <c r="B11" s="27">
        <v>3236000</v>
      </c>
      <c r="C11" s="8" t="s">
        <v>316</v>
      </c>
      <c r="D11" s="29">
        <v>19</v>
      </c>
      <c r="E11" s="38">
        <f t="shared" si="0"/>
        <v>0.61290322580645162</v>
      </c>
    </row>
    <row r="12" spans="1:5" s="28" customFormat="1" ht="40.5" customHeight="1" x14ac:dyDescent="0.3">
      <c r="A12" s="22" t="s">
        <v>46</v>
      </c>
      <c r="B12" s="27">
        <v>4771800</v>
      </c>
      <c r="C12" s="8" t="s">
        <v>317</v>
      </c>
      <c r="D12" s="29">
        <v>23</v>
      </c>
      <c r="E12" s="38">
        <f t="shared" si="0"/>
        <v>0.74193548387096775</v>
      </c>
    </row>
    <row r="13" spans="1:5" s="28" customFormat="1" ht="40.5" customHeight="1" x14ac:dyDescent="0.3">
      <c r="A13" s="22" t="s">
        <v>47</v>
      </c>
      <c r="B13" s="27">
        <v>3265100</v>
      </c>
      <c r="C13" s="8" t="s">
        <v>318</v>
      </c>
      <c r="D13" s="29">
        <v>23</v>
      </c>
      <c r="E13" s="38">
        <f t="shared" si="0"/>
        <v>0.74193548387096775</v>
      </c>
    </row>
    <row r="14" spans="1:5" s="28" customFormat="1" ht="40.5" customHeight="1" x14ac:dyDescent="0.3">
      <c r="A14" s="22" t="s">
        <v>48</v>
      </c>
      <c r="B14" s="27">
        <v>1223400</v>
      </c>
      <c r="C14" s="8" t="s">
        <v>304</v>
      </c>
      <c r="D14" s="29">
        <v>22</v>
      </c>
      <c r="E14" s="38">
        <f t="shared" si="0"/>
        <v>0.70967741935483875</v>
      </c>
    </row>
    <row r="15" spans="1:5" s="28" customFormat="1" ht="40.5" customHeight="1" x14ac:dyDescent="0.3">
      <c r="A15" s="22" t="s">
        <v>49</v>
      </c>
      <c r="B15" s="27">
        <v>2547550</v>
      </c>
      <c r="C15" s="8" t="s">
        <v>319</v>
      </c>
      <c r="D15" s="29">
        <v>19</v>
      </c>
      <c r="E15" s="38">
        <f t="shared" si="0"/>
        <v>0.61290322580645162</v>
      </c>
    </row>
    <row r="16" spans="1:5" s="28" customFormat="1" ht="40.5" customHeight="1" x14ac:dyDescent="0.3">
      <c r="A16" s="22" t="s">
        <v>50</v>
      </c>
      <c r="B16" s="27">
        <v>13394900</v>
      </c>
      <c r="C16" s="8" t="s">
        <v>320</v>
      </c>
      <c r="D16" s="29">
        <v>25</v>
      </c>
      <c r="E16" s="38">
        <f t="shared" si="0"/>
        <v>0.80645161290322576</v>
      </c>
    </row>
    <row r="17" spans="1:5" s="28" customFormat="1" ht="40.5" customHeight="1" x14ac:dyDescent="0.3">
      <c r="A17" s="22" t="s">
        <v>226</v>
      </c>
      <c r="B17" s="27">
        <v>14518000</v>
      </c>
      <c r="C17" s="8" t="s">
        <v>303</v>
      </c>
      <c r="D17" s="29"/>
      <c r="E17" s="39"/>
    </row>
    <row r="18" spans="1:5" s="28" customFormat="1" ht="40.5" customHeight="1" x14ac:dyDescent="0.3">
      <c r="A18" s="22" t="s">
        <v>113</v>
      </c>
      <c r="B18" s="27">
        <f>SUM(B4:B17)</f>
        <v>75465941</v>
      </c>
      <c r="C18" s="8"/>
      <c r="D18" s="29"/>
      <c r="E18" s="40" t="s">
        <v>328</v>
      </c>
    </row>
    <row r="19" spans="1:5" x14ac:dyDescent="0.3">
      <c r="E19" s="36"/>
    </row>
    <row r="21" spans="1:5" x14ac:dyDescent="0.3">
      <c r="B21" s="37"/>
    </row>
    <row r="23" spans="1:5" x14ac:dyDescent="0.3">
      <c r="B23" s="37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EF70-8578-4918-8CDC-E1B4AA8967DB}">
  <dimension ref="A1:G107"/>
  <sheetViews>
    <sheetView topLeftCell="A97" zoomScaleNormal="100" workbookViewId="0">
      <selection activeCell="B107" sqref="B107"/>
    </sheetView>
  </sheetViews>
  <sheetFormatPr defaultRowHeight="16.5" x14ac:dyDescent="0.3"/>
  <cols>
    <col min="1" max="1" width="7.125" customWidth="1"/>
    <col min="2" max="2" width="13.125" style="1" customWidth="1"/>
    <col min="3" max="3" width="15.25" style="2" customWidth="1"/>
    <col min="4" max="5" width="16" style="2" customWidth="1"/>
    <col min="6" max="6" width="13.125" style="2" hidden="1" customWidth="1"/>
    <col min="7" max="7" width="10.25" style="2" customWidth="1"/>
  </cols>
  <sheetData>
    <row r="1" spans="1:7" ht="26.25" x14ac:dyDescent="0.3">
      <c r="A1" s="42" t="s">
        <v>306</v>
      </c>
      <c r="B1" s="42"/>
      <c r="C1" s="42"/>
      <c r="D1" s="42"/>
      <c r="E1" s="42"/>
      <c r="F1" s="42"/>
      <c r="G1" s="42"/>
    </row>
    <row r="3" spans="1:7" ht="30.75" customHeight="1" x14ac:dyDescent="0.3">
      <c r="A3" s="3" t="s">
        <v>0</v>
      </c>
      <c r="B3" s="4" t="s">
        <v>1</v>
      </c>
      <c r="C3" s="3" t="s">
        <v>2</v>
      </c>
      <c r="D3" s="3" t="s">
        <v>234</v>
      </c>
      <c r="E3" s="3" t="s">
        <v>55</v>
      </c>
      <c r="F3" s="3" t="s">
        <v>22</v>
      </c>
      <c r="G3" s="3" t="s">
        <v>23</v>
      </c>
    </row>
    <row r="4" spans="1:7" ht="30.75" customHeight="1" x14ac:dyDescent="0.3">
      <c r="A4" s="21" t="s">
        <v>3</v>
      </c>
      <c r="B4" s="22">
        <v>299000</v>
      </c>
      <c r="C4" s="23" t="s">
        <v>127</v>
      </c>
      <c r="D4" s="23" t="s">
        <v>214</v>
      </c>
      <c r="E4" s="23" t="s">
        <v>130</v>
      </c>
      <c r="F4" s="22" t="s">
        <v>108</v>
      </c>
      <c r="G4" s="23" t="s">
        <v>126</v>
      </c>
    </row>
    <row r="5" spans="1:7" ht="30.75" customHeight="1" x14ac:dyDescent="0.3">
      <c r="A5" s="21" t="s">
        <v>4</v>
      </c>
      <c r="B5" s="22">
        <v>28800</v>
      </c>
      <c r="C5" s="23" t="s">
        <v>156</v>
      </c>
      <c r="D5" s="23" t="s">
        <v>233</v>
      </c>
      <c r="E5" s="23" t="s">
        <v>158</v>
      </c>
      <c r="F5" s="22" t="s">
        <v>155</v>
      </c>
      <c r="G5" s="23" t="s">
        <v>126</v>
      </c>
    </row>
    <row r="6" spans="1:7" ht="30.75" customHeight="1" x14ac:dyDescent="0.3">
      <c r="A6" s="21" t="s">
        <v>5</v>
      </c>
      <c r="B6" s="22">
        <v>22160</v>
      </c>
      <c r="C6" s="23" t="s">
        <v>156</v>
      </c>
      <c r="D6" s="23" t="s">
        <v>233</v>
      </c>
      <c r="E6" s="23" t="s">
        <v>157</v>
      </c>
      <c r="F6" s="22" t="s">
        <v>155</v>
      </c>
      <c r="G6" s="23" t="s">
        <v>126</v>
      </c>
    </row>
    <row r="7" spans="1:7" ht="30.75" customHeight="1" x14ac:dyDescent="0.3">
      <c r="A7" s="21" t="s">
        <v>6</v>
      </c>
      <c r="B7" s="22">
        <v>365000</v>
      </c>
      <c r="C7" s="23" t="s">
        <v>128</v>
      </c>
      <c r="D7" s="23" t="s">
        <v>233</v>
      </c>
      <c r="E7" s="23" t="s">
        <v>129</v>
      </c>
      <c r="F7" s="23" t="s">
        <v>131</v>
      </c>
      <c r="G7" s="23" t="s">
        <v>126</v>
      </c>
    </row>
    <row r="8" spans="1:7" ht="30.75" customHeight="1" x14ac:dyDescent="0.3">
      <c r="A8" s="21" t="s">
        <v>7</v>
      </c>
      <c r="B8" s="27">
        <v>324000</v>
      </c>
      <c r="C8" s="23" t="s">
        <v>224</v>
      </c>
      <c r="D8" s="23" t="s">
        <v>241</v>
      </c>
      <c r="E8" s="23" t="s">
        <v>221</v>
      </c>
      <c r="F8" s="23" t="s">
        <v>220</v>
      </c>
      <c r="G8" s="23" t="s">
        <v>302</v>
      </c>
    </row>
    <row r="9" spans="1:7" ht="30.75" customHeight="1" x14ac:dyDescent="0.3">
      <c r="A9" s="21" t="s">
        <v>8</v>
      </c>
      <c r="B9" s="27">
        <v>960000</v>
      </c>
      <c r="C9" s="23" t="s">
        <v>225</v>
      </c>
      <c r="D9" s="23" t="s">
        <v>238</v>
      </c>
      <c r="E9" s="23" t="s">
        <v>221</v>
      </c>
      <c r="F9" s="23" t="s">
        <v>220</v>
      </c>
      <c r="G9" s="23" t="s">
        <v>302</v>
      </c>
    </row>
    <row r="10" spans="1:7" ht="30.75" customHeight="1" x14ac:dyDescent="0.3">
      <c r="A10" s="21" t="s">
        <v>9</v>
      </c>
      <c r="B10" s="22">
        <v>44600</v>
      </c>
      <c r="C10" s="23" t="s">
        <v>132</v>
      </c>
      <c r="D10" s="23" t="s">
        <v>233</v>
      </c>
      <c r="E10" s="23" t="s">
        <v>133</v>
      </c>
      <c r="F10" s="23" t="s">
        <v>131</v>
      </c>
      <c r="G10" s="23" t="s">
        <v>140</v>
      </c>
    </row>
    <row r="11" spans="1:7" ht="30.75" customHeight="1" x14ac:dyDescent="0.3">
      <c r="A11" s="21" t="s">
        <v>10</v>
      </c>
      <c r="B11" s="22">
        <v>2023000</v>
      </c>
      <c r="C11" s="23" t="s">
        <v>141</v>
      </c>
      <c r="D11" s="23" t="s">
        <v>233</v>
      </c>
      <c r="E11" s="23" t="s">
        <v>137</v>
      </c>
      <c r="F11" s="23" t="s">
        <v>131</v>
      </c>
      <c r="G11" s="23" t="s">
        <v>40</v>
      </c>
    </row>
    <row r="12" spans="1:7" ht="30.75" customHeight="1" x14ac:dyDescent="0.3">
      <c r="A12" s="21" t="s">
        <v>11</v>
      </c>
      <c r="B12" s="22">
        <v>25000</v>
      </c>
      <c r="C12" s="23" t="s">
        <v>141</v>
      </c>
      <c r="D12" s="23" t="s">
        <v>233</v>
      </c>
      <c r="E12" s="23" t="s">
        <v>139</v>
      </c>
      <c r="F12" s="23" t="s">
        <v>131</v>
      </c>
      <c r="G12" s="23" t="s">
        <v>40</v>
      </c>
    </row>
    <row r="13" spans="1:7" ht="30.75" customHeight="1" x14ac:dyDescent="0.3">
      <c r="A13" s="21" t="s">
        <v>12</v>
      </c>
      <c r="B13" s="22">
        <v>77300</v>
      </c>
      <c r="C13" s="23" t="s">
        <v>132</v>
      </c>
      <c r="D13" s="23" t="s">
        <v>233</v>
      </c>
      <c r="E13" s="23" t="s">
        <v>138</v>
      </c>
      <c r="F13" s="23" t="s">
        <v>131</v>
      </c>
      <c r="G13" s="23" t="s">
        <v>40</v>
      </c>
    </row>
    <row r="14" spans="1:7" ht="30.75" customHeight="1" x14ac:dyDescent="0.3">
      <c r="A14" s="21" t="s">
        <v>13</v>
      </c>
      <c r="B14" s="22">
        <v>500000</v>
      </c>
      <c r="C14" s="23" t="s">
        <v>135</v>
      </c>
      <c r="D14" s="23" t="s">
        <v>235</v>
      </c>
      <c r="E14" s="23" t="s">
        <v>136</v>
      </c>
      <c r="F14" s="23" t="s">
        <v>134</v>
      </c>
      <c r="G14" s="23" t="s">
        <v>40</v>
      </c>
    </row>
    <row r="15" spans="1:7" ht="30.75" customHeight="1" x14ac:dyDescent="0.3">
      <c r="A15" s="21" t="s">
        <v>14</v>
      </c>
      <c r="B15" s="22">
        <v>500000</v>
      </c>
      <c r="C15" s="23" t="s">
        <v>231</v>
      </c>
      <c r="D15" s="23" t="s">
        <v>235</v>
      </c>
      <c r="E15" s="23" t="s">
        <v>142</v>
      </c>
      <c r="F15" s="23" t="s">
        <v>134</v>
      </c>
      <c r="G15" s="23" t="s">
        <v>40</v>
      </c>
    </row>
    <row r="16" spans="1:7" ht="30.75" customHeight="1" x14ac:dyDescent="0.3">
      <c r="A16" s="21" t="s">
        <v>15</v>
      </c>
      <c r="B16" s="22">
        <v>500000</v>
      </c>
      <c r="C16" s="23" t="s">
        <v>231</v>
      </c>
      <c r="D16" s="23" t="s">
        <v>235</v>
      </c>
      <c r="E16" s="23" t="s">
        <v>143</v>
      </c>
      <c r="F16" s="23" t="s">
        <v>134</v>
      </c>
      <c r="G16" s="23" t="s">
        <v>40</v>
      </c>
    </row>
    <row r="17" spans="1:7" ht="30.75" customHeight="1" x14ac:dyDescent="0.3">
      <c r="A17" s="21" t="s">
        <v>16</v>
      </c>
      <c r="B17" s="22">
        <v>854000</v>
      </c>
      <c r="C17" s="23" t="s">
        <v>215</v>
      </c>
      <c r="D17" s="23" t="s">
        <v>236</v>
      </c>
      <c r="E17" s="23" t="s">
        <v>144</v>
      </c>
      <c r="F17" s="23" t="s">
        <v>145</v>
      </c>
      <c r="G17" s="23" t="s">
        <v>40</v>
      </c>
    </row>
    <row r="18" spans="1:7" ht="30.75" customHeight="1" x14ac:dyDescent="0.3">
      <c r="A18" s="21" t="s">
        <v>17</v>
      </c>
      <c r="B18" s="24">
        <v>57200</v>
      </c>
      <c r="C18" s="23" t="s">
        <v>149</v>
      </c>
      <c r="D18" s="23" t="s">
        <v>233</v>
      </c>
      <c r="E18" s="23" t="s">
        <v>138</v>
      </c>
      <c r="F18" s="23" t="s">
        <v>131</v>
      </c>
      <c r="G18" s="23" t="s">
        <v>147</v>
      </c>
    </row>
    <row r="19" spans="1:7" ht="30.75" customHeight="1" x14ac:dyDescent="0.3">
      <c r="A19" s="21" t="s">
        <v>18</v>
      </c>
      <c r="B19" s="22">
        <v>557000</v>
      </c>
      <c r="C19" s="23" t="s">
        <v>150</v>
      </c>
      <c r="D19" s="23" t="s">
        <v>233</v>
      </c>
      <c r="E19" s="25" t="s">
        <v>146</v>
      </c>
      <c r="F19" s="23" t="s">
        <v>131</v>
      </c>
      <c r="G19" s="23" t="s">
        <v>147</v>
      </c>
    </row>
    <row r="20" spans="1:7" ht="30.75" customHeight="1" x14ac:dyDescent="0.3">
      <c r="A20" s="21" t="s">
        <v>19</v>
      </c>
      <c r="B20" s="22">
        <v>2000000</v>
      </c>
      <c r="C20" s="23" t="s">
        <v>135</v>
      </c>
      <c r="D20" s="23" t="s">
        <v>235</v>
      </c>
      <c r="E20" s="23" t="s">
        <v>148</v>
      </c>
      <c r="F20" s="23" t="s">
        <v>134</v>
      </c>
      <c r="G20" s="23" t="s">
        <v>147</v>
      </c>
    </row>
    <row r="21" spans="1:7" ht="30.75" customHeight="1" x14ac:dyDescent="0.3">
      <c r="A21" s="21" t="s">
        <v>20</v>
      </c>
      <c r="B21" s="22">
        <v>500000</v>
      </c>
      <c r="C21" s="23" t="s">
        <v>231</v>
      </c>
      <c r="D21" s="23" t="s">
        <v>235</v>
      </c>
      <c r="E21" s="23" t="s">
        <v>142</v>
      </c>
      <c r="F21" s="23" t="s">
        <v>134</v>
      </c>
      <c r="G21" s="23" t="s">
        <v>147</v>
      </c>
    </row>
    <row r="22" spans="1:7" ht="30.75" customHeight="1" x14ac:dyDescent="0.3">
      <c r="A22" s="21" t="s">
        <v>159</v>
      </c>
      <c r="B22" s="22">
        <v>500000</v>
      </c>
      <c r="C22" s="23" t="s">
        <v>231</v>
      </c>
      <c r="D22" s="23" t="s">
        <v>235</v>
      </c>
      <c r="E22" s="23" t="s">
        <v>143</v>
      </c>
      <c r="F22" s="23" t="s">
        <v>134</v>
      </c>
      <c r="G22" s="23" t="s">
        <v>147</v>
      </c>
    </row>
    <row r="23" spans="1:7" ht="30.75" customHeight="1" x14ac:dyDescent="0.3">
      <c r="A23" s="21" t="s">
        <v>21</v>
      </c>
      <c r="B23" s="22">
        <v>2750000</v>
      </c>
      <c r="C23" s="23" t="s">
        <v>135</v>
      </c>
      <c r="D23" s="23" t="s">
        <v>235</v>
      </c>
      <c r="E23" s="23" t="s">
        <v>151</v>
      </c>
      <c r="F23" s="23" t="s">
        <v>145</v>
      </c>
      <c r="G23" s="23" t="s">
        <v>24</v>
      </c>
    </row>
    <row r="24" spans="1:7" ht="30.75" customHeight="1" x14ac:dyDescent="0.3">
      <c r="A24" s="21" t="s">
        <v>25</v>
      </c>
      <c r="B24" s="22">
        <v>500000</v>
      </c>
      <c r="C24" s="23" t="s">
        <v>231</v>
      </c>
      <c r="D24" s="23" t="s">
        <v>235</v>
      </c>
      <c r="E24" s="23" t="s">
        <v>142</v>
      </c>
      <c r="F24" s="23" t="s">
        <v>134</v>
      </c>
      <c r="G24" s="23" t="s">
        <v>24</v>
      </c>
    </row>
    <row r="25" spans="1:7" ht="30.75" customHeight="1" x14ac:dyDescent="0.3">
      <c r="A25" s="21" t="s">
        <v>26</v>
      </c>
      <c r="B25" s="22">
        <v>500000</v>
      </c>
      <c r="C25" s="23" t="s">
        <v>231</v>
      </c>
      <c r="D25" s="23" t="s">
        <v>235</v>
      </c>
      <c r="E25" s="23" t="s">
        <v>143</v>
      </c>
      <c r="F25" s="23" t="s">
        <v>134</v>
      </c>
      <c r="G25" s="23" t="s">
        <v>24</v>
      </c>
    </row>
    <row r="26" spans="1:7" ht="30.75" customHeight="1" x14ac:dyDescent="0.3">
      <c r="A26" s="21" t="s">
        <v>27</v>
      </c>
      <c r="B26" s="22">
        <v>57200</v>
      </c>
      <c r="C26" s="23" t="s">
        <v>132</v>
      </c>
      <c r="D26" s="23" t="s">
        <v>233</v>
      </c>
      <c r="E26" s="23" t="s">
        <v>138</v>
      </c>
      <c r="F26" s="23" t="s">
        <v>131</v>
      </c>
      <c r="G26" s="23" t="s">
        <v>24</v>
      </c>
    </row>
    <row r="27" spans="1:7" ht="30.75" customHeight="1" x14ac:dyDescent="0.3">
      <c r="A27" s="21" t="s">
        <v>28</v>
      </c>
      <c r="B27" s="22">
        <v>36000</v>
      </c>
      <c r="C27" s="23" t="s">
        <v>141</v>
      </c>
      <c r="D27" s="23" t="s">
        <v>233</v>
      </c>
      <c r="E27" s="23" t="s">
        <v>152</v>
      </c>
      <c r="F27" s="23" t="s">
        <v>131</v>
      </c>
      <c r="G27" s="23" t="s">
        <v>24</v>
      </c>
    </row>
    <row r="28" spans="1:7" ht="30.75" customHeight="1" x14ac:dyDescent="0.3">
      <c r="A28" s="21" t="s">
        <v>29</v>
      </c>
      <c r="B28" s="22">
        <v>20900</v>
      </c>
      <c r="C28" s="23" t="s">
        <v>132</v>
      </c>
      <c r="D28" s="23" t="s">
        <v>233</v>
      </c>
      <c r="E28" s="23" t="s">
        <v>154</v>
      </c>
      <c r="F28" s="23" t="s">
        <v>155</v>
      </c>
      <c r="G28" s="23" t="s">
        <v>24</v>
      </c>
    </row>
    <row r="29" spans="1:7" ht="30.75" customHeight="1" x14ac:dyDescent="0.3">
      <c r="A29" s="21" t="s">
        <v>30</v>
      </c>
      <c r="B29" s="26">
        <v>63000</v>
      </c>
      <c r="C29" s="23" t="s">
        <v>160</v>
      </c>
      <c r="D29" s="23" t="s">
        <v>240</v>
      </c>
      <c r="E29" s="23" t="s">
        <v>161</v>
      </c>
      <c r="F29" s="23" t="s">
        <v>162</v>
      </c>
      <c r="G29" s="21" t="s">
        <v>163</v>
      </c>
    </row>
    <row r="30" spans="1:7" ht="30.75" customHeight="1" x14ac:dyDescent="0.3">
      <c r="A30" s="21" t="s">
        <v>31</v>
      </c>
      <c r="B30" s="26">
        <v>446000</v>
      </c>
      <c r="C30" s="23" t="s">
        <v>164</v>
      </c>
      <c r="D30" s="23" t="s">
        <v>240</v>
      </c>
      <c r="E30" s="23" t="s">
        <v>165</v>
      </c>
      <c r="F30" s="23" t="s">
        <v>162</v>
      </c>
      <c r="G30" s="21" t="s">
        <v>163</v>
      </c>
    </row>
    <row r="31" spans="1:7" ht="30.75" customHeight="1" x14ac:dyDescent="0.3">
      <c r="A31" s="21" t="s">
        <v>32</v>
      </c>
      <c r="B31" s="26">
        <v>716000</v>
      </c>
      <c r="C31" s="23" t="s">
        <v>164</v>
      </c>
      <c r="D31" s="23" t="s">
        <v>240</v>
      </c>
      <c r="E31" s="23" t="s">
        <v>166</v>
      </c>
      <c r="F31" s="23" t="s">
        <v>162</v>
      </c>
      <c r="G31" s="21" t="s">
        <v>163</v>
      </c>
    </row>
    <row r="32" spans="1:7" ht="30.75" customHeight="1" x14ac:dyDescent="0.3">
      <c r="A32" s="21" t="s">
        <v>33</v>
      </c>
      <c r="B32" s="26">
        <v>381000</v>
      </c>
      <c r="C32" s="23" t="s">
        <v>164</v>
      </c>
      <c r="D32" s="23" t="s">
        <v>240</v>
      </c>
      <c r="E32" s="23" t="s">
        <v>167</v>
      </c>
      <c r="F32" s="23" t="s">
        <v>162</v>
      </c>
      <c r="G32" s="21" t="s">
        <v>163</v>
      </c>
    </row>
    <row r="33" spans="1:7" ht="30.75" customHeight="1" x14ac:dyDescent="0.3">
      <c r="A33" s="21" t="s">
        <v>34</v>
      </c>
      <c r="B33" s="26">
        <v>9000</v>
      </c>
      <c r="C33" s="23" t="s">
        <v>260</v>
      </c>
      <c r="D33" s="23" t="s">
        <v>240</v>
      </c>
      <c r="E33" s="23" t="s">
        <v>168</v>
      </c>
      <c r="F33" s="23" t="s">
        <v>162</v>
      </c>
      <c r="G33" s="21" t="s">
        <v>163</v>
      </c>
    </row>
    <row r="34" spans="1:7" ht="30.75" customHeight="1" x14ac:dyDescent="0.3">
      <c r="A34" s="21" t="s">
        <v>35</v>
      </c>
      <c r="B34" s="22">
        <v>500000</v>
      </c>
      <c r="C34" s="23" t="s">
        <v>231</v>
      </c>
      <c r="D34" s="23" t="s">
        <v>235</v>
      </c>
      <c r="E34" s="23" t="s">
        <v>142</v>
      </c>
      <c r="F34" s="23" t="s">
        <v>134</v>
      </c>
      <c r="G34" s="21" t="s">
        <v>163</v>
      </c>
    </row>
    <row r="35" spans="1:7" ht="30.75" customHeight="1" x14ac:dyDescent="0.3">
      <c r="A35" s="21" t="s">
        <v>36</v>
      </c>
      <c r="B35" s="22">
        <v>500000</v>
      </c>
      <c r="C35" s="23" t="s">
        <v>231</v>
      </c>
      <c r="D35" s="23" t="s">
        <v>235</v>
      </c>
      <c r="E35" s="23" t="s">
        <v>143</v>
      </c>
      <c r="F35" s="23" t="s">
        <v>134</v>
      </c>
      <c r="G35" s="21" t="s">
        <v>163</v>
      </c>
    </row>
    <row r="36" spans="1:7" ht="30.75" customHeight="1" x14ac:dyDescent="0.3">
      <c r="A36" s="21" t="s">
        <v>37</v>
      </c>
      <c r="B36" s="22">
        <v>1000000</v>
      </c>
      <c r="C36" s="23" t="s">
        <v>135</v>
      </c>
      <c r="D36" s="23" t="s">
        <v>235</v>
      </c>
      <c r="E36" s="23" t="s">
        <v>143</v>
      </c>
      <c r="F36" s="23" t="s">
        <v>134</v>
      </c>
      <c r="G36" s="21" t="s">
        <v>163</v>
      </c>
    </row>
    <row r="37" spans="1:7" ht="30.75" customHeight="1" x14ac:dyDescent="0.3">
      <c r="A37" s="21" t="s">
        <v>38</v>
      </c>
      <c r="B37" s="27">
        <v>2450000</v>
      </c>
      <c r="C37" s="23" t="s">
        <v>245</v>
      </c>
      <c r="D37" s="23" t="s">
        <v>235</v>
      </c>
      <c r="E37" s="23" t="s">
        <v>175</v>
      </c>
      <c r="F37" s="23" t="s">
        <v>134</v>
      </c>
      <c r="G37" s="21" t="s">
        <v>163</v>
      </c>
    </row>
    <row r="38" spans="1:7" ht="30.75" customHeight="1" x14ac:dyDescent="0.3">
      <c r="A38" s="21" t="s">
        <v>39</v>
      </c>
      <c r="B38" s="27">
        <v>93370</v>
      </c>
      <c r="C38" s="23" t="s">
        <v>169</v>
      </c>
      <c r="D38" s="23" t="s">
        <v>240</v>
      </c>
      <c r="E38" s="23" t="s">
        <v>172</v>
      </c>
      <c r="F38" s="23" t="s">
        <v>162</v>
      </c>
      <c r="G38" s="21" t="s">
        <v>163</v>
      </c>
    </row>
    <row r="39" spans="1:7" ht="30.75" customHeight="1" x14ac:dyDescent="0.3">
      <c r="A39" s="21" t="s">
        <v>56</v>
      </c>
      <c r="B39" s="26">
        <v>62461</v>
      </c>
      <c r="C39" s="23" t="s">
        <v>160</v>
      </c>
      <c r="D39" s="23" t="s">
        <v>240</v>
      </c>
      <c r="E39" s="23" t="s">
        <v>173</v>
      </c>
      <c r="F39" s="23" t="s">
        <v>162</v>
      </c>
      <c r="G39" s="21" t="s">
        <v>163</v>
      </c>
    </row>
    <row r="40" spans="1:7" ht="30.75" customHeight="1" x14ac:dyDescent="0.3">
      <c r="A40" s="21" t="s">
        <v>57</v>
      </c>
      <c r="B40" s="26">
        <v>5264200</v>
      </c>
      <c r="C40" s="23" t="s">
        <v>170</v>
      </c>
      <c r="D40" s="23" t="s">
        <v>240</v>
      </c>
      <c r="E40" s="23" t="s">
        <v>171</v>
      </c>
      <c r="F40" s="23" t="s">
        <v>134</v>
      </c>
      <c r="G40" s="21" t="s">
        <v>163</v>
      </c>
    </row>
    <row r="41" spans="1:7" ht="30.75" customHeight="1" x14ac:dyDescent="0.3">
      <c r="A41" s="21" t="s">
        <v>58</v>
      </c>
      <c r="B41" s="27">
        <v>2000000</v>
      </c>
      <c r="C41" s="23" t="s">
        <v>244</v>
      </c>
      <c r="D41" s="23" t="s">
        <v>240</v>
      </c>
      <c r="E41" s="23" t="s">
        <v>174</v>
      </c>
      <c r="F41" s="23" t="s">
        <v>134</v>
      </c>
      <c r="G41" s="21" t="s">
        <v>163</v>
      </c>
    </row>
    <row r="42" spans="1:7" ht="30.75" customHeight="1" x14ac:dyDescent="0.3">
      <c r="A42" s="21" t="s">
        <v>59</v>
      </c>
      <c r="B42" s="27">
        <v>65000</v>
      </c>
      <c r="C42" s="23" t="s">
        <v>176</v>
      </c>
      <c r="D42" s="23" t="s">
        <v>233</v>
      </c>
      <c r="E42" s="23" t="s">
        <v>177</v>
      </c>
      <c r="F42" s="23" t="s">
        <v>131</v>
      </c>
      <c r="G42" s="21" t="s">
        <v>43</v>
      </c>
    </row>
    <row r="43" spans="1:7" ht="30.75" customHeight="1" x14ac:dyDescent="0.3">
      <c r="A43" s="21" t="s">
        <v>60</v>
      </c>
      <c r="B43" s="22">
        <v>14400</v>
      </c>
      <c r="C43" s="23" t="s">
        <v>176</v>
      </c>
      <c r="D43" s="23" t="s">
        <v>233</v>
      </c>
      <c r="E43" s="23" t="s">
        <v>178</v>
      </c>
      <c r="F43" s="23" t="s">
        <v>131</v>
      </c>
      <c r="G43" s="21" t="s">
        <v>43</v>
      </c>
    </row>
    <row r="44" spans="1:7" ht="30.75" customHeight="1" x14ac:dyDescent="0.3">
      <c r="A44" s="21" t="s">
        <v>61</v>
      </c>
      <c r="B44" s="22">
        <v>500000</v>
      </c>
      <c r="C44" s="23" t="s">
        <v>231</v>
      </c>
      <c r="D44" s="23" t="s">
        <v>235</v>
      </c>
      <c r="E44" s="23" t="s">
        <v>142</v>
      </c>
      <c r="F44" s="23" t="s">
        <v>134</v>
      </c>
      <c r="G44" s="21" t="s">
        <v>43</v>
      </c>
    </row>
    <row r="45" spans="1:7" ht="30.75" customHeight="1" x14ac:dyDescent="0.3">
      <c r="A45" s="21" t="s">
        <v>62</v>
      </c>
      <c r="B45" s="22">
        <v>500000</v>
      </c>
      <c r="C45" s="23" t="s">
        <v>231</v>
      </c>
      <c r="D45" s="23" t="s">
        <v>235</v>
      </c>
      <c r="E45" s="23" t="s">
        <v>143</v>
      </c>
      <c r="F45" s="23" t="s">
        <v>134</v>
      </c>
      <c r="G45" s="21" t="s">
        <v>43</v>
      </c>
    </row>
    <row r="46" spans="1:7" ht="30.75" customHeight="1" x14ac:dyDescent="0.3">
      <c r="A46" s="21" t="s">
        <v>63</v>
      </c>
      <c r="B46" s="22">
        <v>1500000</v>
      </c>
      <c r="C46" s="23" t="s">
        <v>135</v>
      </c>
      <c r="D46" s="23" t="s">
        <v>235</v>
      </c>
      <c r="E46" s="23" t="s">
        <v>184</v>
      </c>
      <c r="F46" s="23" t="s">
        <v>185</v>
      </c>
      <c r="G46" s="21" t="s">
        <v>43</v>
      </c>
    </row>
    <row r="47" spans="1:7" ht="30.75" customHeight="1" x14ac:dyDescent="0.3">
      <c r="A47" s="21" t="s">
        <v>64</v>
      </c>
      <c r="B47" s="22">
        <v>45100</v>
      </c>
      <c r="C47" s="23" t="s">
        <v>132</v>
      </c>
      <c r="D47" s="23" t="s">
        <v>233</v>
      </c>
      <c r="E47" s="23" t="s">
        <v>138</v>
      </c>
      <c r="F47" s="23" t="s">
        <v>131</v>
      </c>
      <c r="G47" s="21" t="s">
        <v>44</v>
      </c>
    </row>
    <row r="48" spans="1:7" ht="30.75" customHeight="1" x14ac:dyDescent="0.3">
      <c r="A48" s="21" t="s">
        <v>65</v>
      </c>
      <c r="B48" s="27">
        <v>41200</v>
      </c>
      <c r="C48" s="23" t="s">
        <v>132</v>
      </c>
      <c r="D48" s="23" t="s">
        <v>233</v>
      </c>
      <c r="E48" s="23" t="s">
        <v>138</v>
      </c>
      <c r="F48" s="23" t="s">
        <v>131</v>
      </c>
      <c r="G48" s="21" t="s">
        <v>44</v>
      </c>
    </row>
    <row r="49" spans="1:7" ht="30.75" customHeight="1" x14ac:dyDescent="0.3">
      <c r="A49" s="21" t="s">
        <v>66</v>
      </c>
      <c r="B49" s="22">
        <v>42600</v>
      </c>
      <c r="C49" s="23" t="s">
        <v>132</v>
      </c>
      <c r="D49" s="23" t="s">
        <v>233</v>
      </c>
      <c r="E49" s="23" t="s">
        <v>154</v>
      </c>
      <c r="F49" s="23" t="s">
        <v>131</v>
      </c>
      <c r="G49" s="21" t="s">
        <v>44</v>
      </c>
    </row>
    <row r="50" spans="1:7" ht="30.75" customHeight="1" x14ac:dyDescent="0.3">
      <c r="A50" s="21" t="s">
        <v>67</v>
      </c>
      <c r="B50" s="22">
        <v>189500</v>
      </c>
      <c r="C50" s="23" t="s">
        <v>179</v>
      </c>
      <c r="D50" s="23" t="s">
        <v>233</v>
      </c>
      <c r="E50" s="23" t="s">
        <v>180</v>
      </c>
      <c r="F50" s="23" t="s">
        <v>181</v>
      </c>
      <c r="G50" s="21" t="s">
        <v>44</v>
      </c>
    </row>
    <row r="51" spans="1:7" ht="30.75" customHeight="1" x14ac:dyDescent="0.3">
      <c r="A51" s="21" t="s">
        <v>68</v>
      </c>
      <c r="B51" s="27">
        <v>125200</v>
      </c>
      <c r="C51" s="23" t="s">
        <v>179</v>
      </c>
      <c r="D51" s="23" t="s">
        <v>233</v>
      </c>
      <c r="E51" s="23" t="s">
        <v>182</v>
      </c>
      <c r="F51" s="23" t="s">
        <v>181</v>
      </c>
      <c r="G51" s="21" t="s">
        <v>44</v>
      </c>
    </row>
    <row r="52" spans="1:7" ht="30.75" customHeight="1" x14ac:dyDescent="0.3">
      <c r="A52" s="21" t="s">
        <v>69</v>
      </c>
      <c r="B52" s="22">
        <v>500000</v>
      </c>
      <c r="C52" s="23" t="s">
        <v>231</v>
      </c>
      <c r="D52" s="23" t="s">
        <v>235</v>
      </c>
      <c r="E52" s="23" t="s">
        <v>142</v>
      </c>
      <c r="F52" s="23" t="s">
        <v>134</v>
      </c>
      <c r="G52" s="21" t="s">
        <v>44</v>
      </c>
    </row>
    <row r="53" spans="1:7" ht="30.75" customHeight="1" x14ac:dyDescent="0.3">
      <c r="A53" s="21" t="s">
        <v>70</v>
      </c>
      <c r="B53" s="22">
        <v>500000</v>
      </c>
      <c r="C53" s="23" t="s">
        <v>231</v>
      </c>
      <c r="D53" s="23" t="s">
        <v>235</v>
      </c>
      <c r="E53" s="23" t="s">
        <v>143</v>
      </c>
      <c r="F53" s="23" t="s">
        <v>134</v>
      </c>
      <c r="G53" s="21" t="s">
        <v>44</v>
      </c>
    </row>
    <row r="54" spans="1:7" ht="30.75" customHeight="1" x14ac:dyDescent="0.3">
      <c r="A54" s="21" t="s">
        <v>71</v>
      </c>
      <c r="B54" s="22">
        <v>1000000</v>
      </c>
      <c r="C54" s="23" t="s">
        <v>135</v>
      </c>
      <c r="D54" s="23" t="s">
        <v>235</v>
      </c>
      <c r="E54" s="23" t="s">
        <v>186</v>
      </c>
      <c r="F54" s="23" t="s">
        <v>185</v>
      </c>
      <c r="G54" s="21" t="s">
        <v>44</v>
      </c>
    </row>
    <row r="55" spans="1:7" ht="30.75" customHeight="1" x14ac:dyDescent="0.3">
      <c r="A55" s="21" t="s">
        <v>72</v>
      </c>
      <c r="B55" s="27">
        <v>50900</v>
      </c>
      <c r="C55" s="23" t="s">
        <v>132</v>
      </c>
      <c r="D55" s="23" t="s">
        <v>233</v>
      </c>
      <c r="E55" s="23" t="s">
        <v>138</v>
      </c>
      <c r="F55" s="23" t="s">
        <v>131</v>
      </c>
      <c r="G55" s="21" t="s">
        <v>45</v>
      </c>
    </row>
    <row r="56" spans="1:7" ht="30.75" customHeight="1" x14ac:dyDescent="0.3">
      <c r="A56" s="21" t="s">
        <v>73</v>
      </c>
      <c r="B56" s="27">
        <v>30100</v>
      </c>
      <c r="C56" s="23" t="s">
        <v>132</v>
      </c>
      <c r="D56" s="23" t="s">
        <v>233</v>
      </c>
      <c r="E56" s="23" t="s">
        <v>154</v>
      </c>
      <c r="F56" s="23" t="s">
        <v>131</v>
      </c>
      <c r="G56" s="21" t="s">
        <v>45</v>
      </c>
    </row>
    <row r="57" spans="1:7" ht="30.75" customHeight="1" x14ac:dyDescent="0.3">
      <c r="A57" s="21" t="s">
        <v>74</v>
      </c>
      <c r="B57" s="27">
        <v>655000</v>
      </c>
      <c r="C57" s="23" t="s">
        <v>179</v>
      </c>
      <c r="D57" s="23" t="s">
        <v>233</v>
      </c>
      <c r="E57" s="23" t="s">
        <v>183</v>
      </c>
      <c r="F57" s="23" t="s">
        <v>181</v>
      </c>
      <c r="G57" s="21" t="s">
        <v>45</v>
      </c>
    </row>
    <row r="58" spans="1:7" ht="30.75" customHeight="1" x14ac:dyDescent="0.3">
      <c r="A58" s="21" t="s">
        <v>75</v>
      </c>
      <c r="B58" s="22">
        <v>500000</v>
      </c>
      <c r="C58" s="23" t="s">
        <v>231</v>
      </c>
      <c r="D58" s="23" t="s">
        <v>235</v>
      </c>
      <c r="E58" s="23" t="s">
        <v>142</v>
      </c>
      <c r="F58" s="23" t="s">
        <v>134</v>
      </c>
      <c r="G58" s="21" t="s">
        <v>45</v>
      </c>
    </row>
    <row r="59" spans="1:7" ht="30.75" customHeight="1" x14ac:dyDescent="0.3">
      <c r="A59" s="21" t="s">
        <v>76</v>
      </c>
      <c r="B59" s="22">
        <v>500000</v>
      </c>
      <c r="C59" s="23" t="s">
        <v>231</v>
      </c>
      <c r="D59" s="23" t="s">
        <v>235</v>
      </c>
      <c r="E59" s="23" t="s">
        <v>143</v>
      </c>
      <c r="F59" s="23" t="s">
        <v>134</v>
      </c>
      <c r="G59" s="21" t="s">
        <v>45</v>
      </c>
    </row>
    <row r="60" spans="1:7" ht="30.75" customHeight="1" x14ac:dyDescent="0.3">
      <c r="A60" s="21" t="s">
        <v>77</v>
      </c>
      <c r="B60" s="22">
        <v>1500000</v>
      </c>
      <c r="C60" s="23" t="s">
        <v>135</v>
      </c>
      <c r="D60" s="23" t="s">
        <v>235</v>
      </c>
      <c r="E60" s="23" t="s">
        <v>187</v>
      </c>
      <c r="F60" s="23" t="s">
        <v>185</v>
      </c>
      <c r="G60" s="21" t="s">
        <v>45</v>
      </c>
    </row>
    <row r="61" spans="1:7" ht="30.75" customHeight="1" x14ac:dyDescent="0.3">
      <c r="A61" s="21" t="s">
        <v>78</v>
      </c>
      <c r="B61" s="22">
        <v>34000</v>
      </c>
      <c r="C61" s="23" t="s">
        <v>132</v>
      </c>
      <c r="D61" s="23" t="s">
        <v>233</v>
      </c>
      <c r="E61" s="23" t="s">
        <v>138</v>
      </c>
      <c r="F61" s="23" t="s">
        <v>131</v>
      </c>
      <c r="G61" s="21" t="s">
        <v>46</v>
      </c>
    </row>
    <row r="62" spans="1:7" ht="30.75" customHeight="1" x14ac:dyDescent="0.3">
      <c r="A62" s="21" t="s">
        <v>79</v>
      </c>
      <c r="B62" s="22">
        <v>58800</v>
      </c>
      <c r="C62" s="23" t="s">
        <v>132</v>
      </c>
      <c r="D62" s="23" t="s">
        <v>233</v>
      </c>
      <c r="E62" s="23" t="s">
        <v>154</v>
      </c>
      <c r="F62" s="23" t="s">
        <v>131</v>
      </c>
      <c r="G62" s="21" t="s">
        <v>46</v>
      </c>
    </row>
    <row r="63" spans="1:7" ht="30.75" customHeight="1" x14ac:dyDescent="0.3">
      <c r="A63" s="21" t="s">
        <v>80</v>
      </c>
      <c r="B63" s="27">
        <v>679000</v>
      </c>
      <c r="C63" s="23" t="s">
        <v>188</v>
      </c>
      <c r="D63" s="23" t="s">
        <v>233</v>
      </c>
      <c r="E63" s="23" t="s">
        <v>189</v>
      </c>
      <c r="F63" s="23" t="s">
        <v>131</v>
      </c>
      <c r="G63" s="21" t="s">
        <v>46</v>
      </c>
    </row>
    <row r="64" spans="1:7" ht="30.75" customHeight="1" x14ac:dyDescent="0.3">
      <c r="A64" s="21" t="s">
        <v>81</v>
      </c>
      <c r="B64" s="22">
        <v>500000</v>
      </c>
      <c r="C64" s="23" t="s">
        <v>231</v>
      </c>
      <c r="D64" s="23" t="s">
        <v>235</v>
      </c>
      <c r="E64" s="23" t="s">
        <v>142</v>
      </c>
      <c r="F64" s="23" t="s">
        <v>134</v>
      </c>
      <c r="G64" s="21" t="s">
        <v>46</v>
      </c>
    </row>
    <row r="65" spans="1:7" ht="30.75" customHeight="1" x14ac:dyDescent="0.3">
      <c r="A65" s="21" t="s">
        <v>82</v>
      </c>
      <c r="B65" s="22">
        <v>500000</v>
      </c>
      <c r="C65" s="23" t="s">
        <v>231</v>
      </c>
      <c r="D65" s="23" t="s">
        <v>235</v>
      </c>
      <c r="E65" s="23" t="s">
        <v>143</v>
      </c>
      <c r="F65" s="23" t="s">
        <v>134</v>
      </c>
      <c r="G65" s="21" t="s">
        <v>46</v>
      </c>
    </row>
    <row r="66" spans="1:7" ht="30.75" customHeight="1" x14ac:dyDescent="0.3">
      <c r="A66" s="21" t="s">
        <v>83</v>
      </c>
      <c r="B66" s="22">
        <v>3000000</v>
      </c>
      <c r="C66" s="23" t="s">
        <v>135</v>
      </c>
      <c r="D66" s="23" t="s">
        <v>235</v>
      </c>
      <c r="E66" s="23" t="s">
        <v>190</v>
      </c>
      <c r="F66" s="23" t="s">
        <v>185</v>
      </c>
      <c r="G66" s="21" t="s">
        <v>46</v>
      </c>
    </row>
    <row r="67" spans="1:7" ht="30.75" customHeight="1" x14ac:dyDescent="0.3">
      <c r="A67" s="21" t="s">
        <v>84</v>
      </c>
      <c r="B67" s="22">
        <v>100100</v>
      </c>
      <c r="C67" s="23" t="s">
        <v>191</v>
      </c>
      <c r="D67" s="23" t="s">
        <v>238</v>
      </c>
      <c r="E67" s="23" t="s">
        <v>192</v>
      </c>
      <c r="F67" s="23" t="s">
        <v>193</v>
      </c>
      <c r="G67" s="21" t="s">
        <v>47</v>
      </c>
    </row>
    <row r="68" spans="1:7" ht="30.75" customHeight="1" x14ac:dyDescent="0.3">
      <c r="A68" s="21" t="s">
        <v>85</v>
      </c>
      <c r="B68" s="22">
        <v>21400</v>
      </c>
      <c r="C68" s="23" t="s">
        <v>194</v>
      </c>
      <c r="D68" s="23" t="s">
        <v>233</v>
      </c>
      <c r="E68" s="23" t="s">
        <v>154</v>
      </c>
      <c r="F68" s="23" t="s">
        <v>131</v>
      </c>
      <c r="G68" s="21" t="s">
        <v>47</v>
      </c>
    </row>
    <row r="69" spans="1:7" ht="30.75" customHeight="1" x14ac:dyDescent="0.3">
      <c r="A69" s="21" t="s">
        <v>86</v>
      </c>
      <c r="B69" s="22">
        <v>9900</v>
      </c>
      <c r="C69" s="23" t="s">
        <v>194</v>
      </c>
      <c r="D69" s="23" t="s">
        <v>233</v>
      </c>
      <c r="E69" s="23" t="s">
        <v>154</v>
      </c>
      <c r="F69" s="23" t="s">
        <v>131</v>
      </c>
      <c r="G69" s="21" t="s">
        <v>47</v>
      </c>
    </row>
    <row r="70" spans="1:7" ht="30.75" customHeight="1" x14ac:dyDescent="0.3">
      <c r="A70" s="21" t="s">
        <v>87</v>
      </c>
      <c r="B70" s="22">
        <v>76700</v>
      </c>
      <c r="C70" s="23" t="s">
        <v>132</v>
      </c>
      <c r="D70" s="23" t="s">
        <v>233</v>
      </c>
      <c r="E70" s="23" t="s">
        <v>138</v>
      </c>
      <c r="F70" s="23" t="s">
        <v>131</v>
      </c>
      <c r="G70" s="21" t="s">
        <v>47</v>
      </c>
    </row>
    <row r="71" spans="1:7" ht="30.75" customHeight="1" x14ac:dyDescent="0.3">
      <c r="A71" s="21" t="s">
        <v>88</v>
      </c>
      <c r="B71" s="22">
        <v>557000</v>
      </c>
      <c r="C71" s="23" t="s">
        <v>195</v>
      </c>
      <c r="D71" s="23" t="s">
        <v>233</v>
      </c>
      <c r="E71" s="23" t="s">
        <v>152</v>
      </c>
      <c r="F71" s="23" t="s">
        <v>193</v>
      </c>
      <c r="G71" s="21" t="s">
        <v>47</v>
      </c>
    </row>
    <row r="72" spans="1:7" ht="30.75" customHeight="1" x14ac:dyDescent="0.3">
      <c r="A72" s="21" t="s">
        <v>89</v>
      </c>
      <c r="B72" s="22">
        <v>500000</v>
      </c>
      <c r="C72" s="23" t="s">
        <v>231</v>
      </c>
      <c r="D72" s="23" t="s">
        <v>235</v>
      </c>
      <c r="E72" s="23" t="s">
        <v>142</v>
      </c>
      <c r="F72" s="23" t="s">
        <v>134</v>
      </c>
      <c r="G72" s="21" t="s">
        <v>47</v>
      </c>
    </row>
    <row r="73" spans="1:7" ht="30.75" customHeight="1" x14ac:dyDescent="0.3">
      <c r="A73" s="21" t="s">
        <v>90</v>
      </c>
      <c r="B73" s="22">
        <v>500000</v>
      </c>
      <c r="C73" s="23" t="s">
        <v>231</v>
      </c>
      <c r="D73" s="23" t="s">
        <v>235</v>
      </c>
      <c r="E73" s="23" t="s">
        <v>143</v>
      </c>
      <c r="F73" s="23" t="s">
        <v>134</v>
      </c>
      <c r="G73" s="21" t="s">
        <v>47</v>
      </c>
    </row>
    <row r="74" spans="1:7" ht="30.75" customHeight="1" x14ac:dyDescent="0.3">
      <c r="A74" s="21" t="s">
        <v>91</v>
      </c>
      <c r="B74" s="22">
        <v>1500000</v>
      </c>
      <c r="C74" s="23" t="s">
        <v>135</v>
      </c>
      <c r="D74" s="23" t="s">
        <v>235</v>
      </c>
      <c r="E74" s="23" t="s">
        <v>190</v>
      </c>
      <c r="F74" s="23" t="s">
        <v>134</v>
      </c>
      <c r="G74" s="21" t="s">
        <v>47</v>
      </c>
    </row>
    <row r="75" spans="1:7" ht="30.75" customHeight="1" x14ac:dyDescent="0.3">
      <c r="A75" s="21" t="s">
        <v>92</v>
      </c>
      <c r="B75" s="22">
        <v>178000</v>
      </c>
      <c r="C75" s="23" t="s">
        <v>196</v>
      </c>
      <c r="D75" s="23" t="s">
        <v>233</v>
      </c>
      <c r="E75" s="23" t="s">
        <v>197</v>
      </c>
      <c r="F75" s="23" t="s">
        <v>131</v>
      </c>
      <c r="G75" s="21" t="s">
        <v>48</v>
      </c>
    </row>
    <row r="76" spans="1:7" ht="30.75" customHeight="1" x14ac:dyDescent="0.3">
      <c r="A76" s="21" t="s">
        <v>93</v>
      </c>
      <c r="B76" s="27">
        <v>5000</v>
      </c>
      <c r="C76" s="23" t="s">
        <v>132</v>
      </c>
      <c r="D76" s="23" t="s">
        <v>233</v>
      </c>
      <c r="E76" s="23" t="s">
        <v>198</v>
      </c>
      <c r="F76" s="23" t="s">
        <v>131</v>
      </c>
      <c r="G76" s="21" t="s">
        <v>48</v>
      </c>
    </row>
    <row r="77" spans="1:7" ht="30.75" customHeight="1" x14ac:dyDescent="0.3">
      <c r="A77" s="21" t="s">
        <v>94</v>
      </c>
      <c r="B77" s="27">
        <v>40400</v>
      </c>
      <c r="C77" s="23" t="s">
        <v>132</v>
      </c>
      <c r="D77" s="23" t="s">
        <v>233</v>
      </c>
      <c r="E77" s="23" t="s">
        <v>198</v>
      </c>
      <c r="F77" s="23" t="s">
        <v>131</v>
      </c>
      <c r="G77" s="21" t="s">
        <v>48</v>
      </c>
    </row>
    <row r="78" spans="1:7" ht="30.75" customHeight="1" x14ac:dyDescent="0.3">
      <c r="A78" s="21" t="s">
        <v>95</v>
      </c>
      <c r="B78" s="22">
        <v>500000</v>
      </c>
      <c r="C78" s="23" t="s">
        <v>231</v>
      </c>
      <c r="D78" s="23" t="s">
        <v>235</v>
      </c>
      <c r="E78" s="23" t="s">
        <v>142</v>
      </c>
      <c r="F78" s="23" t="s">
        <v>134</v>
      </c>
      <c r="G78" s="21" t="s">
        <v>48</v>
      </c>
    </row>
    <row r="79" spans="1:7" ht="30.75" customHeight="1" x14ac:dyDescent="0.3">
      <c r="A79" s="21" t="s">
        <v>96</v>
      </c>
      <c r="B79" s="22">
        <v>500000</v>
      </c>
      <c r="C79" s="23" t="s">
        <v>231</v>
      </c>
      <c r="D79" s="23" t="s">
        <v>235</v>
      </c>
      <c r="E79" s="23" t="s">
        <v>143</v>
      </c>
      <c r="F79" s="23" t="s">
        <v>134</v>
      </c>
      <c r="G79" s="21" t="s">
        <v>48</v>
      </c>
    </row>
    <row r="80" spans="1:7" ht="30.75" customHeight="1" x14ac:dyDescent="0.3">
      <c r="A80" s="21" t="s">
        <v>97</v>
      </c>
      <c r="B80" s="22">
        <v>500000</v>
      </c>
      <c r="C80" s="23" t="s">
        <v>231</v>
      </c>
      <c r="D80" s="23" t="s">
        <v>235</v>
      </c>
      <c r="E80" s="23" t="s">
        <v>142</v>
      </c>
      <c r="F80" s="23" t="s">
        <v>134</v>
      </c>
      <c r="G80" s="21" t="s">
        <v>49</v>
      </c>
    </row>
    <row r="81" spans="1:7" ht="30.75" customHeight="1" x14ac:dyDescent="0.3">
      <c r="A81" s="21" t="s">
        <v>98</v>
      </c>
      <c r="B81" s="22">
        <v>500000</v>
      </c>
      <c r="C81" s="23" t="s">
        <v>231</v>
      </c>
      <c r="D81" s="23" t="s">
        <v>235</v>
      </c>
      <c r="E81" s="23" t="s">
        <v>143</v>
      </c>
      <c r="F81" s="23" t="s">
        <v>134</v>
      </c>
      <c r="G81" s="21" t="s">
        <v>49</v>
      </c>
    </row>
    <row r="82" spans="1:7" ht="30.75" customHeight="1" x14ac:dyDescent="0.3">
      <c r="A82" s="21" t="s">
        <v>99</v>
      </c>
      <c r="B82" s="22">
        <v>1000000</v>
      </c>
      <c r="C82" s="23" t="s">
        <v>135</v>
      </c>
      <c r="D82" s="23" t="s">
        <v>235</v>
      </c>
      <c r="E82" s="23" t="s">
        <v>199</v>
      </c>
      <c r="F82" s="23" t="s">
        <v>134</v>
      </c>
      <c r="G82" s="21" t="s">
        <v>49</v>
      </c>
    </row>
    <row r="83" spans="1:7" ht="30.75" customHeight="1" x14ac:dyDescent="0.3">
      <c r="A83" s="21" t="s">
        <v>100</v>
      </c>
      <c r="B83" s="22">
        <v>151000</v>
      </c>
      <c r="C83" s="23" t="s">
        <v>200</v>
      </c>
      <c r="D83" s="23" t="s">
        <v>233</v>
      </c>
      <c r="E83" s="23" t="s">
        <v>202</v>
      </c>
      <c r="F83" s="23" t="s">
        <v>131</v>
      </c>
      <c r="G83" s="21" t="s">
        <v>49</v>
      </c>
    </row>
    <row r="84" spans="1:7" ht="30.75" customHeight="1" x14ac:dyDescent="0.3">
      <c r="A84" s="21" t="s">
        <v>101</v>
      </c>
      <c r="B84" s="27">
        <v>41600</v>
      </c>
      <c r="C84" s="23" t="s">
        <v>201</v>
      </c>
      <c r="D84" s="23" t="s">
        <v>233</v>
      </c>
      <c r="E84" s="22" t="s">
        <v>154</v>
      </c>
      <c r="F84" s="23" t="s">
        <v>131</v>
      </c>
      <c r="G84" s="21" t="s">
        <v>49</v>
      </c>
    </row>
    <row r="85" spans="1:7" ht="30.75" customHeight="1" x14ac:dyDescent="0.3">
      <c r="A85" s="21" t="s">
        <v>102</v>
      </c>
      <c r="B85" s="22">
        <v>43850</v>
      </c>
      <c r="C85" s="23" t="s">
        <v>201</v>
      </c>
      <c r="D85" s="23" t="s">
        <v>233</v>
      </c>
      <c r="E85" s="23" t="s">
        <v>203</v>
      </c>
      <c r="F85" s="23" t="s">
        <v>131</v>
      </c>
      <c r="G85" s="21" t="s">
        <v>49</v>
      </c>
    </row>
    <row r="86" spans="1:7" ht="30.75" customHeight="1" x14ac:dyDescent="0.3">
      <c r="A86" s="21" t="s">
        <v>103</v>
      </c>
      <c r="B86" s="22">
        <v>27000</v>
      </c>
      <c r="C86" s="23" t="s">
        <v>201</v>
      </c>
      <c r="D86" s="23" t="s">
        <v>233</v>
      </c>
      <c r="E86" s="23" t="s">
        <v>203</v>
      </c>
      <c r="F86" s="23" t="s">
        <v>131</v>
      </c>
      <c r="G86" s="21" t="s">
        <v>49</v>
      </c>
    </row>
    <row r="87" spans="1:7" ht="30.75" customHeight="1" x14ac:dyDescent="0.3">
      <c r="A87" s="21" t="s">
        <v>104</v>
      </c>
      <c r="B87" s="22">
        <v>284100</v>
      </c>
      <c r="C87" s="23" t="s">
        <v>200</v>
      </c>
      <c r="D87" s="23" t="s">
        <v>233</v>
      </c>
      <c r="E87" s="23" t="s">
        <v>204</v>
      </c>
      <c r="F87" s="23" t="s">
        <v>131</v>
      </c>
      <c r="G87" s="21" t="s">
        <v>49</v>
      </c>
    </row>
    <row r="88" spans="1:7" ht="30.75" customHeight="1" x14ac:dyDescent="0.3">
      <c r="A88" s="21" t="s">
        <v>105</v>
      </c>
      <c r="B88" s="22">
        <v>500000</v>
      </c>
      <c r="C88" s="23" t="s">
        <v>231</v>
      </c>
      <c r="D88" s="23" t="s">
        <v>235</v>
      </c>
      <c r="E88" s="23" t="s">
        <v>142</v>
      </c>
      <c r="F88" s="23" t="s">
        <v>134</v>
      </c>
      <c r="G88" s="21" t="s">
        <v>50</v>
      </c>
    </row>
    <row r="89" spans="1:7" ht="30.75" customHeight="1" x14ac:dyDescent="0.3">
      <c r="A89" s="21" t="s">
        <v>109</v>
      </c>
      <c r="B89" s="22">
        <v>500000</v>
      </c>
      <c r="C89" s="23" t="s">
        <v>231</v>
      </c>
      <c r="D89" s="23" t="s">
        <v>235</v>
      </c>
      <c r="E89" s="23" t="s">
        <v>143</v>
      </c>
      <c r="F89" s="23" t="s">
        <v>134</v>
      </c>
      <c r="G89" s="21" t="s">
        <v>50</v>
      </c>
    </row>
    <row r="90" spans="1:7" ht="30.75" customHeight="1" x14ac:dyDescent="0.3">
      <c r="A90" s="21" t="s">
        <v>110</v>
      </c>
      <c r="B90" s="22">
        <v>1500000</v>
      </c>
      <c r="C90" s="23" t="s">
        <v>135</v>
      </c>
      <c r="D90" s="23" t="s">
        <v>235</v>
      </c>
      <c r="E90" s="23" t="s">
        <v>217</v>
      </c>
      <c r="F90" s="23" t="s">
        <v>134</v>
      </c>
      <c r="G90" s="21" t="s">
        <v>50</v>
      </c>
    </row>
    <row r="91" spans="1:7" ht="30.75" customHeight="1" x14ac:dyDescent="0.3">
      <c r="A91" s="21" t="s">
        <v>111</v>
      </c>
      <c r="B91" s="27">
        <v>5137000</v>
      </c>
      <c r="C91" s="23" t="s">
        <v>207</v>
      </c>
      <c r="D91" s="23" t="s">
        <v>242</v>
      </c>
      <c r="E91" s="23" t="s">
        <v>208</v>
      </c>
      <c r="F91" s="23" t="s">
        <v>209</v>
      </c>
      <c r="G91" s="21" t="s">
        <v>50</v>
      </c>
    </row>
    <row r="92" spans="1:7" ht="30.75" customHeight="1" x14ac:dyDescent="0.3">
      <c r="A92" s="21" t="s">
        <v>114</v>
      </c>
      <c r="B92" s="22">
        <v>1980000</v>
      </c>
      <c r="C92" s="23" t="s">
        <v>210</v>
      </c>
      <c r="D92" s="23" t="s">
        <v>242</v>
      </c>
      <c r="E92" s="23" t="s">
        <v>211</v>
      </c>
      <c r="F92" s="23" t="s">
        <v>145</v>
      </c>
      <c r="G92" s="21" t="s">
        <v>50</v>
      </c>
    </row>
    <row r="93" spans="1:7" ht="30.75" customHeight="1" x14ac:dyDescent="0.3">
      <c r="A93" s="21" t="s">
        <v>115</v>
      </c>
      <c r="B93" s="22">
        <v>993000</v>
      </c>
      <c r="C93" s="23" t="s">
        <v>153</v>
      </c>
      <c r="D93" s="23" t="s">
        <v>242</v>
      </c>
      <c r="E93" s="23" t="s">
        <v>212</v>
      </c>
      <c r="F93" s="23" t="s">
        <v>209</v>
      </c>
      <c r="G93" s="21" t="s">
        <v>50</v>
      </c>
    </row>
    <row r="94" spans="1:7" ht="30.75" customHeight="1" x14ac:dyDescent="0.3">
      <c r="A94" s="21" t="s">
        <v>116</v>
      </c>
      <c r="B94" s="22">
        <v>50000</v>
      </c>
      <c r="C94" s="23" t="s">
        <v>207</v>
      </c>
      <c r="D94" s="23" t="s">
        <v>242</v>
      </c>
      <c r="E94" s="23" t="s">
        <v>213</v>
      </c>
      <c r="F94" s="23" t="s">
        <v>209</v>
      </c>
      <c r="G94" s="21" t="s">
        <v>50</v>
      </c>
    </row>
    <row r="95" spans="1:7" ht="30.75" customHeight="1" x14ac:dyDescent="0.3">
      <c r="A95" s="21" t="s">
        <v>117</v>
      </c>
      <c r="B95" s="27">
        <v>14000</v>
      </c>
      <c r="C95" s="23" t="s">
        <v>207</v>
      </c>
      <c r="D95" s="23" t="s">
        <v>242</v>
      </c>
      <c r="E95" s="23" t="s">
        <v>307</v>
      </c>
      <c r="F95" s="23" t="s">
        <v>209</v>
      </c>
      <c r="G95" s="23" t="s">
        <v>228</v>
      </c>
    </row>
    <row r="96" spans="1:7" ht="30.75" customHeight="1" x14ac:dyDescent="0.3">
      <c r="A96" s="21" t="s">
        <v>118</v>
      </c>
      <c r="B96" s="27">
        <v>1540000</v>
      </c>
      <c r="C96" s="23" t="s">
        <v>222</v>
      </c>
      <c r="D96" s="23" t="s">
        <v>242</v>
      </c>
      <c r="E96" s="23" t="s">
        <v>223</v>
      </c>
      <c r="F96" s="23" t="s">
        <v>223</v>
      </c>
      <c r="G96" s="23" t="s">
        <v>228</v>
      </c>
    </row>
    <row r="97" spans="1:7" ht="30.75" customHeight="1" x14ac:dyDescent="0.3">
      <c r="A97" s="21" t="s">
        <v>119</v>
      </c>
      <c r="B97" s="27">
        <v>738900</v>
      </c>
      <c r="C97" s="23" t="s">
        <v>215</v>
      </c>
      <c r="D97" s="23" t="s">
        <v>236</v>
      </c>
      <c r="E97" s="23" t="s">
        <v>223</v>
      </c>
      <c r="F97" s="23" t="s">
        <v>223</v>
      </c>
      <c r="G97" s="23" t="s">
        <v>228</v>
      </c>
    </row>
    <row r="98" spans="1:7" ht="30.75" customHeight="1" x14ac:dyDescent="0.3">
      <c r="A98" s="21" t="s">
        <v>120</v>
      </c>
      <c r="B98" s="27">
        <v>32800</v>
      </c>
      <c r="C98" s="23" t="s">
        <v>153</v>
      </c>
      <c r="D98" s="23" t="s">
        <v>242</v>
      </c>
      <c r="E98" s="23" t="s">
        <v>223</v>
      </c>
      <c r="F98" s="23" t="s">
        <v>223</v>
      </c>
      <c r="G98" s="23" t="s">
        <v>228</v>
      </c>
    </row>
    <row r="99" spans="1:7" ht="30.75" customHeight="1" x14ac:dyDescent="0.3">
      <c r="A99" s="21" t="s">
        <v>121</v>
      </c>
      <c r="B99" s="27">
        <v>387200</v>
      </c>
      <c r="C99" s="23" t="s">
        <v>216</v>
      </c>
      <c r="D99" s="23" t="s">
        <v>242</v>
      </c>
      <c r="E99" s="23" t="s">
        <v>223</v>
      </c>
      <c r="F99" s="23" t="s">
        <v>223</v>
      </c>
      <c r="G99" s="23" t="s">
        <v>228</v>
      </c>
    </row>
    <row r="100" spans="1:7" ht="30.75" customHeight="1" x14ac:dyDescent="0.3">
      <c r="A100" s="21" t="s">
        <v>122</v>
      </c>
      <c r="B100" s="27">
        <v>22000</v>
      </c>
      <c r="C100" s="22" t="s">
        <v>324</v>
      </c>
      <c r="D100" s="23" t="s">
        <v>322</v>
      </c>
      <c r="E100" s="23" t="s">
        <v>323</v>
      </c>
      <c r="F100" s="23"/>
      <c r="G100" s="23" t="s">
        <v>228</v>
      </c>
    </row>
    <row r="101" spans="1:7" ht="30.75" customHeight="1" x14ac:dyDescent="0.3">
      <c r="A101" s="21" t="s">
        <v>123</v>
      </c>
      <c r="B101" s="27">
        <v>10800000</v>
      </c>
      <c r="C101" s="23" t="s">
        <v>218</v>
      </c>
      <c r="D101" s="23" t="s">
        <v>243</v>
      </c>
      <c r="E101" s="23" t="s">
        <v>219</v>
      </c>
      <c r="F101" s="23" t="s">
        <v>220</v>
      </c>
      <c r="G101" s="23" t="s">
        <v>227</v>
      </c>
    </row>
    <row r="102" spans="1:7" ht="30.75" customHeight="1" x14ac:dyDescent="0.3">
      <c r="A102" s="21" t="s">
        <v>124</v>
      </c>
      <c r="B102" s="27">
        <v>1750000</v>
      </c>
      <c r="C102" s="23" t="s">
        <v>205</v>
      </c>
      <c r="D102" s="23" t="s">
        <v>238</v>
      </c>
      <c r="E102" s="23" t="s">
        <v>221</v>
      </c>
      <c r="F102" s="23" t="s">
        <v>220</v>
      </c>
      <c r="G102" s="23" t="s">
        <v>227</v>
      </c>
    </row>
    <row r="103" spans="1:7" ht="30.75" customHeight="1" x14ac:dyDescent="0.3">
      <c r="A103" s="21" t="s">
        <v>321</v>
      </c>
      <c r="B103" s="27">
        <v>1836000</v>
      </c>
      <c r="C103" s="22" t="s">
        <v>206</v>
      </c>
      <c r="D103" s="23" t="s">
        <v>241</v>
      </c>
      <c r="E103" s="23" t="s">
        <v>221</v>
      </c>
      <c r="F103" s="23" t="s">
        <v>220</v>
      </c>
      <c r="G103" s="23" t="s">
        <v>227</v>
      </c>
    </row>
    <row r="104" spans="1:7" ht="30.75" customHeight="1" x14ac:dyDescent="0.3">
      <c r="A104" s="21" t="s">
        <v>330</v>
      </c>
      <c r="B104" s="27">
        <v>132000</v>
      </c>
      <c r="C104" s="22" t="s">
        <v>331</v>
      </c>
      <c r="D104" s="23" t="s">
        <v>332</v>
      </c>
      <c r="E104" s="23" t="s">
        <v>333</v>
      </c>
      <c r="F104" s="23"/>
      <c r="G104" s="23" t="s">
        <v>334</v>
      </c>
    </row>
    <row r="105" spans="1:7" ht="27" customHeight="1" x14ac:dyDescent="0.3">
      <c r="A105" s="30"/>
      <c r="B105" s="31">
        <f>SUM(B4:B104)</f>
        <v>75465941</v>
      </c>
      <c r="C105" s="32"/>
      <c r="D105" s="32"/>
      <c r="E105" s="32"/>
      <c r="F105" s="32"/>
      <c r="G105" s="32"/>
    </row>
    <row r="107" spans="1:7" ht="19.5" x14ac:dyDescent="0.3">
      <c r="B107" s="27">
        <v>75465941</v>
      </c>
      <c r="C107" s="35"/>
    </row>
  </sheetData>
  <autoFilter ref="B3:G105" xr:uid="{959FEF70-8578-4918-8CDC-E1B4AA8967DB}"/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E1FC-ED5B-4A9F-855B-B00EB39FAD66}">
  <dimension ref="B2:H19"/>
  <sheetViews>
    <sheetView tabSelected="1" workbookViewId="0">
      <selection activeCell="H11" sqref="H11"/>
    </sheetView>
  </sheetViews>
  <sheetFormatPr defaultRowHeight="16.5" x14ac:dyDescent="0.3"/>
  <cols>
    <col min="1" max="1" width="2.375" customWidth="1"/>
    <col min="2" max="2" width="17.875" customWidth="1"/>
    <col min="3" max="3" width="15.875" customWidth="1"/>
    <col min="4" max="4" width="14.375" customWidth="1"/>
    <col min="5" max="5" width="14.125" bestFit="1" customWidth="1"/>
    <col min="6" max="6" width="14.25" customWidth="1"/>
  </cols>
  <sheetData>
    <row r="2" spans="2:8" s="12" customFormat="1" ht="26.25" customHeight="1" x14ac:dyDescent="0.3">
      <c r="B2" s="13" t="s">
        <v>298</v>
      </c>
      <c r="C2" s="13" t="s">
        <v>299</v>
      </c>
      <c r="E2" s="12" t="s">
        <v>301</v>
      </c>
    </row>
    <row r="3" spans="2:8" s="12" customFormat="1" ht="26.25" customHeight="1" x14ac:dyDescent="0.3">
      <c r="B3" s="16" t="s">
        <v>300</v>
      </c>
      <c r="C3" s="15">
        <v>90500000</v>
      </c>
      <c r="E3" s="13" t="s">
        <v>107</v>
      </c>
      <c r="F3" s="13" t="s">
        <v>53</v>
      </c>
    </row>
    <row r="4" spans="2:8" s="12" customFormat="1" ht="26.25" customHeight="1" x14ac:dyDescent="0.3">
      <c r="B4" s="16" t="s">
        <v>52</v>
      </c>
      <c r="C4" s="20">
        <f>지출세부내역서!B105</f>
        <v>75465941</v>
      </c>
      <c r="E4" s="17">
        <f>C5/2</f>
        <v>7517029.5</v>
      </c>
      <c r="F4" s="17">
        <f>C5/2</f>
        <v>7517029.5</v>
      </c>
    </row>
    <row r="5" spans="2:8" s="12" customFormat="1" ht="26.25" customHeight="1" x14ac:dyDescent="0.3">
      <c r="B5" s="16" t="s">
        <v>54</v>
      </c>
      <c r="C5" s="17">
        <f>C3-C4</f>
        <v>15034059</v>
      </c>
      <c r="F5" s="33"/>
    </row>
    <row r="6" spans="2:8" s="12" customFormat="1" ht="26.25" customHeight="1" x14ac:dyDescent="0.3">
      <c r="B6" s="18"/>
      <c r="C6" s="19"/>
      <c r="F6" s="34"/>
    </row>
    <row r="7" spans="2:8" ht="26.25" customHeight="1" x14ac:dyDescent="0.3">
      <c r="B7" s="12" t="s">
        <v>294</v>
      </c>
      <c r="C7" s="12"/>
      <c r="D7" s="12"/>
      <c r="E7" s="12"/>
    </row>
    <row r="8" spans="2:8" ht="26.25" customHeight="1" x14ac:dyDescent="0.3">
      <c r="B8" s="13" t="s">
        <v>295</v>
      </c>
      <c r="C8" s="13" t="s">
        <v>106</v>
      </c>
      <c r="D8" s="13" t="s">
        <v>51</v>
      </c>
      <c r="E8" s="12"/>
      <c r="H8">
        <v>75465941</v>
      </c>
    </row>
    <row r="9" spans="2:8" ht="26.25" customHeight="1" x14ac:dyDescent="0.3">
      <c r="B9" s="14">
        <f>C5/2</f>
        <v>7517029.5</v>
      </c>
      <c r="C9" s="15">
        <v>10800000</v>
      </c>
      <c r="D9" s="14">
        <f>SUM(B9:C9)</f>
        <v>18317029.5</v>
      </c>
      <c r="E9" s="12"/>
    </row>
    <row r="10" spans="2:8" ht="26.25" customHeight="1" x14ac:dyDescent="0.3">
      <c r="B10" s="12"/>
      <c r="C10" s="12"/>
      <c r="D10" s="12"/>
      <c r="E10" s="12"/>
    </row>
    <row r="11" spans="2:8" ht="26.25" customHeight="1" x14ac:dyDescent="0.3">
      <c r="B11" s="12" t="s">
        <v>296</v>
      </c>
      <c r="C11" s="12"/>
      <c r="D11" s="12"/>
      <c r="E11" s="12"/>
    </row>
    <row r="12" spans="2:8" ht="26.25" customHeight="1" x14ac:dyDescent="0.3">
      <c r="B12" s="13" t="s">
        <v>295</v>
      </c>
      <c r="C12" s="13" t="s">
        <v>231</v>
      </c>
      <c r="D12" s="13" t="s">
        <v>297</v>
      </c>
      <c r="E12" s="13" t="s">
        <v>51</v>
      </c>
    </row>
    <row r="13" spans="2:8" ht="26.25" customHeight="1" x14ac:dyDescent="0.3">
      <c r="B13" s="14">
        <f>B9</f>
        <v>7517029.5</v>
      </c>
      <c r="C13" s="15">
        <v>12000000</v>
      </c>
      <c r="D13" s="15">
        <v>2000000</v>
      </c>
      <c r="E13" s="15">
        <f>SUM(B13:D13)</f>
        <v>21517029.5</v>
      </c>
    </row>
    <row r="16" spans="2:8" x14ac:dyDescent="0.3">
      <c r="B16" t="s">
        <v>337</v>
      </c>
    </row>
    <row r="17" spans="2:4" ht="24.75" customHeight="1" x14ac:dyDescent="0.3">
      <c r="B17" s="13" t="s">
        <v>295</v>
      </c>
      <c r="C17" s="13" t="s">
        <v>339</v>
      </c>
      <c r="D17" s="15" t="s">
        <v>338</v>
      </c>
    </row>
    <row r="18" spans="2:4" ht="24.75" customHeight="1" x14ac:dyDescent="0.3">
      <c r="B18" s="14">
        <f>B13</f>
        <v>7517029.5</v>
      </c>
      <c r="C18" s="15">
        <f>SUM(지출세부내역서!B96:B99)</f>
        <v>2698900</v>
      </c>
      <c r="D18" s="15">
        <f>SUM(B18:C18)</f>
        <v>10215929.5</v>
      </c>
    </row>
    <row r="19" spans="2:4" ht="17.25" x14ac:dyDescent="0.3">
      <c r="D19" s="4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항목별</vt:lpstr>
      <vt:lpstr>주차별 지출액</vt:lpstr>
      <vt:lpstr>지출세부내역서</vt:lpstr>
      <vt:lpstr>수익배분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현길 박</dc:creator>
  <cp:lastModifiedBy>현길 박</cp:lastModifiedBy>
  <cp:lastPrinted>2025-07-14T05:49:27Z</cp:lastPrinted>
  <dcterms:created xsi:type="dcterms:W3CDTF">2024-05-13T00:29:49Z</dcterms:created>
  <dcterms:modified xsi:type="dcterms:W3CDTF">2025-08-06T09:53:47Z</dcterms:modified>
</cp:coreProperties>
</file>