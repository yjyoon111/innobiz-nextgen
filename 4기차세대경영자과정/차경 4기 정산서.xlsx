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F1C7A3CB-92E9-4014-8AC6-064E766AA87B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출석현황'!$A$1:$S$31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30" i="14" l="1"/>
  <c r="Q30" i="14"/>
  <c r="P30" i="14"/>
  <c r="R29" i="14"/>
  <c r="Q29" i="14"/>
  <c r="P29" i="14"/>
  <c r="R28" i="14"/>
  <c r="Q28" i="14"/>
  <c r="P28" i="14"/>
  <c r="R27" i="14"/>
  <c r="Q27" i="14"/>
  <c r="P27" i="14"/>
  <c r="R26" i="14"/>
  <c r="Q26" i="14"/>
  <c r="P26" i="14"/>
  <c r="R25" i="14"/>
  <c r="Q25" i="14"/>
  <c r="P25" i="14"/>
  <c r="R24" i="14"/>
  <c r="Q24" i="14"/>
  <c r="P24" i="14"/>
  <c r="R23" i="14"/>
  <c r="Q23" i="14"/>
  <c r="P23" i="14"/>
  <c r="R22" i="14"/>
  <c r="Q22" i="14"/>
  <c r="P22" i="14"/>
  <c r="R21" i="14"/>
  <c r="Q21" i="14"/>
  <c r="P21" i="14"/>
  <c r="R20" i="14"/>
  <c r="Q20" i="14"/>
  <c r="P20" i="14"/>
  <c r="R19" i="14"/>
  <c r="Q19" i="14"/>
  <c r="P19" i="14"/>
  <c r="R18" i="14"/>
  <c r="Q18" i="14"/>
  <c r="P18" i="14"/>
  <c r="R17" i="14"/>
  <c r="Q17" i="14"/>
  <c r="P17" i="14"/>
  <c r="R16" i="14"/>
  <c r="Q16" i="14"/>
  <c r="P16" i="14"/>
  <c r="R15" i="14"/>
  <c r="Q15" i="14"/>
  <c r="P15" i="14"/>
  <c r="R14" i="14"/>
  <c r="Q14" i="14"/>
  <c r="P14" i="14"/>
  <c r="R13" i="14"/>
  <c r="Q13" i="14"/>
  <c r="P13" i="14"/>
  <c r="R12" i="14"/>
  <c r="Q12" i="14"/>
  <c r="P12" i="14"/>
  <c r="R11" i="14"/>
  <c r="Q11" i="14"/>
  <c r="P11" i="14"/>
  <c r="R10" i="14"/>
  <c r="Q10" i="14"/>
  <c r="P10" i="14"/>
  <c r="R9" i="14"/>
  <c r="Q9" i="14"/>
  <c r="P9" i="14"/>
  <c r="R8" i="14"/>
  <c r="Q8" i="14"/>
  <c r="P8" i="14"/>
  <c r="R7" i="14"/>
  <c r="Q7" i="14"/>
  <c r="P7" i="14"/>
  <c r="R6" i="14"/>
  <c r="Q6" i="14"/>
  <c r="P6" i="14"/>
  <c r="R5" i="14"/>
  <c r="Q5" i="14"/>
  <c r="P5" i="14"/>
  <c r="R4" i="14"/>
  <c r="Q4" i="14"/>
  <c r="P4" i="14"/>
  <c r="R3" i="14"/>
  <c r="Q3" i="14"/>
  <c r="P3" i="14"/>
  <c r="R2" i="14"/>
  <c r="Q2" i="14"/>
  <c r="P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R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<sst xmlns="http://schemas.openxmlformats.org/spreadsheetml/2006/main" count="832" uniqueCount="336">
  <si>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</si>
  <si>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</si>
  <si>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</si>
  <si>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</si>
  <si>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</si>
  <si>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</si>
  <si>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</si>
  <si>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</si>
  <si>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</si>
  <si>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</si>
  <si>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</si>
  <si>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</si>
  <si>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</si>
  <si>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</si>
  <si>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</si>
  <si>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</si>
  <si>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</si>
  <si>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</si>
  <si>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</si>
  <si>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</si>
  <si>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</si>
  <si>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</si>
  <si>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</si>
  <si>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</si>
  <si>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</si>
  <si>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</si>
  <si>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</si>
  <si>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</si>
  <si>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</si>
  <si>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</si>
  <si>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</si>
  <si>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</si>
  <si>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</si>
  <si>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</si>
  <si>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</si>
  <si>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</si>
  <si>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</si>
  <si>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</si>
  <si>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</si>
  <si>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</si>
  <si>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</si>
  <si>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</si>
  <si>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</si>
  <si>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</si>
  <si>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</si>
  <si>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</si>
  <si>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</si>
  <si>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</si>
  <si>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</si>
  <si>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</si>
  <si>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</si>
  <si>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</si>
  <si>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</si>
  <si>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</si>
  <si>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</si>
  <si>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</si>
  <si>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</si>
  <si>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</si>
  <si>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</si>
  <si>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</si>
  <si>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</si>
  <si>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</si>
  <si>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</si>
  <si>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</si>
  <si>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</si>
  <si>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</si>
  <si>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</si>
  <si>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</si>
  <si>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</si>
  <si>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</si>
  <si>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</si>
  <si>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</si>
  <si>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</si>
  <si>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</si>
  <si>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</si>
  <si>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</si>
  <si>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</si>
  <si>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</si>
  <si>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</si>
  <si>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</si>
  <si>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</si>
  <si>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</si>
  <si>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</si>
  <si>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</si>
  <si>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</si>
  <si>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</si>
  <si>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</si>
  <si>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</si>
  <si>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</si>
  <si>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</si>
  <si>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</si>
  <si>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</si>
  <si>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</si>
  <si>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</si>
  <si>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</si>
  <si>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</si>
  <si>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</si>
  <si>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</si>
  <si>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</si>
  <si>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</si>
  <si>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</si>
  <si>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</si>
  <si>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</si>
  <si>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</si>
  <si>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</si>
  <si>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</si>
  <si>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</si>
  <si>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</si>
  <si>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</si>
  <si>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</si>
  <si>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</si>
  <si>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</si>
  <si>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</si>
  <si>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</si>
  <si>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</si>
  <si>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</si>
  <si>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</si>
  <si>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</si>
  <si>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</si>
  <si>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</si>
  <si>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</si>
  <si>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</si>
  <si>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</si>
  <si>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</si>
  <si>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</si>
  <si>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</si>
  <si>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</si>
  <si>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</si>
  <si>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</si>
  <si>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</si>
  <si>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</si>
  <si>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</si>
  <si>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</si>
  <si>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</si>
  <si>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</si>
  <si>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</si>
  <si>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</si>
  <si>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</si>
  <si>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</si>
  <si>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</si>
  <si>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</si>
  <si>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</si>
  <si>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</si>
  <si>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</si>
  <si>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</si>
  <si>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</si>
  <si>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</si>
  <si>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</si>
  <si>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</si>
  <si>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</si>
  <si>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</si>
  <si>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</si>
  <si>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</si>
  <si>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</si>
  <si>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</si>
  <si>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</si>
  <si>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</si>
  <si>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</si>
  <si>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</si>
  <si>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</si>
  <si>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</si>
  <si>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</si>
  <si>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</si>
  <si>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</si>
  <si>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</si>
  <si>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</si>
  <si>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</si>
  <si>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</si>
  <si>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</si>
  <si>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</si>
  <si>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</si>
  <si>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</si>
  <si>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</si>
  <si>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</si>
  <si>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</si>
  <si>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</si>
  <si>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</si>
  <si>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</si>
  <si>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</si>
  <si>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</si>
  <si>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</si>
  <si>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</si>
  <si>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</si>
  <si>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</si>
  <si>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</si>
  <si>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</si>
  <si>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</si>
  <si>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</si>
  <si>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</si>
  <si>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</si>
  <si>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</si>
  <si>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</si>
  <si>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</si>
  <si>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</si>
  <si>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</si>
  <si>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</si>
  <si>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</si>
  <si>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</si>
  <si>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</si>
  <si>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</si>
  <si>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</si>
  <si>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</si>
  <si>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</si>
  <si>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</si>
  <si>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</si>
  <si>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</si>
  <si>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</si>
  <si>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</si>
  <si>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</si>
  <si>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</si>
  <si>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</si>
  <si>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</si>
  <si>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</si>
  <si>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</si>
  <si>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</si>
  <si>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</si>
  <si>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</si>
  <si>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</si>
  <si>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</si>
  <si>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</si>
  <si>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</si>
  <si>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</si>
  <si>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</si>
  <si>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</si>
  <si>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</si>
  <si>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</si>
  <si>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</si>
  <si>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</si>
  <si>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</si>
  <si>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</si>
  <si>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</si>
  <si>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</si>
  <si>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</si>
  <si>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</si>
  <si>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</si>
  <si>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</si>
  <si>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</si>
  <si>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</si>
  <si>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</si>
  <si>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</si>
  <si>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</si>
  <si>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</si>
  <si>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</si>
  <si>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</si>
  <si>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</si>
  <si>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</si>
  <si>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</si>
  <si>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</si>
  <si>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</si>
  <si>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</si>
  <si>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</si>
  <si>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</si>
  <si>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</si>
  <si>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</si>
  <si>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</si>
  <si>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</si>
  <si>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</si>
  <si>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</si>
  <si>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</si>
  <si>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</si>
  <si>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</si>
  <si>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</si>
  <si>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</si>
  <si>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</si>
  <si>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</si>
  <si>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</si>
  <si>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</si>
  <si>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</si>
  <si>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</si>
  <si>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</si>
  <si>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</si>
  <si>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</si>
  <si>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</si>
  <si>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</si>
  <si>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</si>
  <si>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</si>
  <si>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</si>
  <si>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</si>
  <si>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</si>
  <si>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</si>
  <si>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</si>
  <si>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</si>
  <si>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</si>
  <si>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</si>
  <si>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</si>
  <si>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</si>
  <si>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</si>
  <si>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</si>
  <si>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</si>
  <si>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</si>
  <si>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</si>
  <si>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</si>
  <si>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</si>
  <si>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</si>
  <si>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</si>
  <si>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</si>
  <si>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</si>
  <si>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</si>
  <si>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</si>
  <si>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</si>
  <si>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</si>
  <si>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</si>
  <si>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</si>
  <si>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</si>
  <si>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</si>
  <si>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</si>
  <si>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</si>
  <si>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</si>
  <si>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</si>
  <si>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</si>
  <si>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</si>
  <si>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</si>
  <si>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</si>
  <si>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</si>
  <si>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</si>
  <si>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</si>
  <si>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</si>
  <si>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</si>
  <si>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</si>
  <si>
    <t>상하이 전시회(NEPCON,SIA) 운영 용역 잔금 30%</t>
  </si>
  <si>
    <t>해외전시</t>
  </si>
  <si>
    <t>(주)인터메세항공</t>
  </si>
  <si>
    <t>참석</t>
    <phoneticPr fontId="2" type="noConversion"/>
  </si>
  <si>
    <t>강사비(김대식)</t>
  </si>
  <si>
    <t>스타잇</t>
  </si>
  <si>
    <t>진행비(김은정)</t>
  </si>
  <si>
    <t>김은정</t>
  </si>
  <si>
    <t>수료식 기념품(선물세트 60개)</t>
  </si>
  <si>
    <t>기념품</t>
  </si>
  <si>
    <t>(주)파르팜</t>
  </si>
  <si>
    <t>식비(삼겹살두루치기)</t>
  </si>
  <si>
    <t>삼겹살두루치기</t>
  </si>
  <si>
    <t>수료식 현수막, 수료증 인쇄</t>
  </si>
  <si>
    <t>다과비(카페두레브)</t>
  </si>
  <si>
    <t>카페두레브</t>
  </si>
  <si>
    <t>11주(2026-07-16, 수료식)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</si>
</sst>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8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  <row r="51" spans="1:7">
      <c r="A51">
        <v>48</v>
      </c>
      <c r="B51" s="71">
        <v>5472080</v>
      </c>
      <c r="C51" s="35">
        <v>46209</v>
      </c>
      <c r="D51" s="34" t="s">
        <v>319</v>
      </c>
      <c r="E51" s="2" t="s">
        <v>320</v>
      </c>
      <c r="F51" s="34" t="s">
        <v>321</v>
      </c>
      <c r="G51" s="2" t="s">
        <v>8</v>
      </c>
    </row>
    <row r="52" spans="1:7">
      <c r="A52">
        <v>49</v>
      </c>
      <c r="B52" s="71">
        <v>3300000</v>
      </c>
      <c r="C52" s="35">
        <v>46219</v>
      </c>
      <c r="D52" s="34" t="s">
        <v>323</v>
      </c>
      <c r="E52" s="2" t="s">
        <v>293</v>
      </c>
      <c r="F52" s="34" t="s">
        <v>324</v>
      </c>
      <c r="G52" s="2" t="s">
        <v>14</v>
      </c>
    </row>
    <row r="53" spans="1:7">
      <c r="A53">
        <v>50</v>
      </c>
      <c r="B53" s="71">
        <v>500000</v>
      </c>
      <c r="C53" s="35">
        <v>46219</v>
      </c>
      <c r="D53" s="34" t="s">
        <v>325</v>
      </c>
      <c r="E53" s="2" t="s">
        <v>296</v>
      </c>
      <c r="F53" s="34" t="s">
        <v>326</v>
      </c>
      <c r="G53" s="2" t="s">
        <v>14</v>
      </c>
    </row>
    <row r="54" spans="1:7">
      <c r="A54">
        <v>51</v>
      </c>
      <c r="B54" s="71">
        <v>2310000</v>
      </c>
      <c r="C54" s="35">
        <v>46219</v>
      </c>
      <c r="D54" s="34" t="s">
        <v>327</v>
      </c>
      <c r="E54" s="2" t="s">
        <v>328</v>
      </c>
      <c r="F54" s="34" t="s">
        <v>329</v>
      </c>
      <c r="G54" s="2" t="s">
        <v>14</v>
      </c>
    </row>
    <row r="55" spans="1:7">
      <c r="A55">
        <v>52</v>
      </c>
      <c r="B55" s="71">
        <v>932000</v>
      </c>
      <c r="C55" s="35">
        <v>46219</v>
      </c>
      <c r="D55" s="34" t="s">
        <v>330</v>
      </c>
      <c r="E55" s="2" t="s">
        <v>303</v>
      </c>
      <c r="F55" s="34" t="s">
        <v>331</v>
      </c>
      <c r="G55" s="2" t="s">
        <v>14</v>
      </c>
    </row>
    <row r="56" spans="1:7">
      <c r="A56">
        <v>53</v>
      </c>
      <c r="B56" s="71">
        <v>467500</v>
      </c>
      <c r="C56" s="35">
        <v>46223</v>
      </c>
      <c r="D56" s="34" t="s">
        <v>332</v>
      </c>
      <c r="E56" s="2" t="s">
        <v>24</v>
      </c>
      <c r="F56" s="34" t="s">
        <v>299</v>
      </c>
      <c r="G56" s="2" t="s">
        <v>14</v>
      </c>
    </row>
    <row r="57" spans="1:7">
      <c r="A57">
        <v>54</v>
      </c>
      <c r="B57" s="71">
        <v>200700</v>
      </c>
      <c r="C57" s="35">
        <v>46217</v>
      </c>
      <c r="D57" s="34" t="s">
        <v>333</v>
      </c>
      <c r="E57" s="2" t="s">
        <v>300</v>
      </c>
      <c r="F57" s="34" t="s">
        <v>334</v>
      </c>
      <c r="G57" s="2" t="s">
        <v>14</v>
      </c>
    </row>
    <row r="58" spans="1:7">
      <c r="A58">
        <v>55</v>
      </c>
      <c r="B58" s="71">
        <v>160400</v>
      </c>
      <c r="C58" s="35">
        <v>46219</v>
      </c>
      <c r="D58" s="34" t="s">
        <v>300</v>
      </c>
      <c r="E58" s="2" t="s">
        <v>300</v>
      </c>
      <c r="F58" s="34" t="s">
        <v>301</v>
      </c>
      <c r="G58" s="2" t="s">
        <v>14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S31"/>
  <sheetViews>
    <sheetView topLeftCell="H1" workbookViewId="0">
      <selection activeCell="O1" sqref="O1:O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5" width="16" style="46" customWidth="1"/>
    <col min="16" max="17" width="12" style="46" customWidth="1"/>
    <col min="18" max="18" width="10" style="46" customWidth="1"/>
    <col min="19" max="19" width="30" style="46" customWidth="1"/>
    <col min="20" max="16384" width="9" style="46"/>
  </cols>
  <sheetData>
    <row r="1" spans="1:19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335</v>
      </c>
      <c r="P1" s="45" t="s">
        <v>156</v>
      </c>
      <c r="Q1" s="45" t="s">
        <v>157</v>
      </c>
      <c r="R1" s="45" t="s">
        <v>158</v>
      </c>
      <c r="S1" s="45" t="s">
        <v>159</v>
      </c>
    </row>
    <row r="2" spans="1:19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 t="s">
        <v>234</v>
      </c>
      <c r="P2" s="47">
        <f>COUNTIF(E2:H2,"참석")+COUNTIF(J2:O2,"참석")</f>
        <v>10</v>
      </c>
      <c r="Q2" s="47">
        <f>COUNTIF(E2:H2,"참석")+COUNTIF(E2:H2,"불참")+COUNTIF(J2:O2,"참석")+COUNTIF(J2:O2,"불참")</f>
        <v>10</v>
      </c>
      <c r="R2" s="49">
        <f>IF(Q2=0,"",P2/Q2)</f>
        <v>1</v>
      </c>
      <c r="S2" s="48"/>
    </row>
    <row r="3" spans="1:19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 t="s">
        <v>234</v>
      </c>
      <c r="P3" s="47">
        <f>COUNTIF(E3:H3,"참석")+COUNTIF(J3:O3,"참석")</f>
        <v>10</v>
      </c>
      <c r="Q3" s="47">
        <f>COUNTIF(E3:H3,"참석")+COUNTIF(E3:H3,"불참")+COUNTIF(J3:O3,"참석")+COUNTIF(J3:O3,"불참")</f>
        <v>10</v>
      </c>
      <c r="R3" s="49">
        <f>IF(Q3=0,"",P3/Q3)</f>
        <v>1</v>
      </c>
      <c r="S3" s="48"/>
    </row>
    <row r="4" spans="1:19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 t="s">
        <v>234</v>
      </c>
      <c r="P4" s="47">
        <f>COUNTIF(E4:H4,"참석")+COUNTIF(J4:O4,"참석")</f>
        <v>10</v>
      </c>
      <c r="Q4" s="47">
        <f>COUNTIF(E4:H4,"참석")+COUNTIF(E4:H4,"불참")+COUNTIF(J4:O4,"참석")+COUNTIF(J4:O4,"불참")</f>
        <v>10</v>
      </c>
      <c r="R4" s="49">
        <f>IF(Q4=0,"",P4/Q4)</f>
        <v>1</v>
      </c>
      <c r="S4" s="48"/>
    </row>
    <row r="5" spans="1:19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 t="s">
        <v>234</v>
      </c>
      <c r="P5" s="47">
        <f>COUNTIF(E5:H5,"참석")+COUNTIF(J5:O5,"참석")</f>
        <v>10</v>
      </c>
      <c r="Q5" s="47">
        <f>COUNTIF(E5:H5,"참석")+COUNTIF(E5:H5,"불참")+COUNTIF(J5:O5,"참석")+COUNTIF(J5:O5,"불참")</f>
        <v>10</v>
      </c>
      <c r="R5" s="49">
        <f>IF(Q5=0,"",P5/Q5)</f>
        <v>1</v>
      </c>
      <c r="S5" s="48"/>
    </row>
    <row r="6" spans="1:19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 t="s">
        <v>234</v>
      </c>
      <c r="P6" s="47">
        <f>COUNTIF(E6:H6,"참석")+COUNTIF(J6:O6,"참석")</f>
        <v>7</v>
      </c>
      <c r="Q6" s="47">
        <f>COUNTIF(E6:H6,"참석")+COUNTIF(E6:H6,"불참")+COUNTIF(J6:O6,"참석")+COUNTIF(J6:O6,"불참")</f>
        <v>10</v>
      </c>
      <c r="R6" s="49">
        <f>IF(Q6=0,"",P6/Q6)</f>
        <v>0.7</v>
      </c>
      <c r="S6" s="48"/>
    </row>
    <row r="7" spans="1:19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 t="s">
        <v>234</v>
      </c>
      <c r="P7" s="47">
        <f>COUNTIF(E7:H7,"참석")+COUNTIF(J7:O7,"참석")</f>
        <v>10</v>
      </c>
      <c r="Q7" s="47">
        <f>COUNTIF(E7:H7,"참석")+COUNTIF(E7:H7,"불참")+COUNTIF(J7:O7,"참석")+COUNTIF(J7:O7,"불참")</f>
        <v>10</v>
      </c>
      <c r="R7" s="49">
        <f>IF(Q7=0,"",P7/Q7)</f>
        <v>1</v>
      </c>
      <c r="S7" s="48"/>
    </row>
    <row r="8" spans="1:19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 t="s">
        <v>173</v>
      </c>
      <c r="P8" s="47">
        <f>COUNTIF(E8:H8,"참석")+COUNTIF(J8:O8,"참석")</f>
        <v>4</v>
      </c>
      <c r="Q8" s="47">
        <f>COUNTIF(E8:H8,"참석")+COUNTIF(E8:H8,"불참")+COUNTIF(J8:O8,"참석")+COUNTIF(J8:O8,"불참")</f>
        <v>10</v>
      </c>
      <c r="R8" s="49">
        <f>IF(Q8=0,"",P8/Q8)</f>
        <v>0.4</v>
      </c>
      <c r="S8" s="48"/>
    </row>
    <row r="9" spans="1:19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 t="s">
        <v>234</v>
      </c>
      <c r="P9" s="47">
        <f>COUNTIF(E9:H9,"참석")+COUNTIF(J9:O9,"참석")</f>
        <v>6</v>
      </c>
      <c r="Q9" s="47">
        <f>COUNTIF(E9:H9,"참석")+COUNTIF(E9:H9,"불참")+COUNTIF(J9:O9,"참석")+COUNTIF(J9:O9,"불참")</f>
        <v>8</v>
      </c>
      <c r="R9" s="49">
        <f>IF(Q9=0,"",P9/Q9)</f>
        <v>0.75</v>
      </c>
      <c r="S9" s="48" t="s">
        <v>240</v>
      </c>
    </row>
    <row r="10" spans="1:19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 t="s">
        <v>173</v>
      </c>
      <c r="P10" s="47">
        <f>COUNTIF(E10:H10,"참석")+COUNTIF(J10:O10,"참석")</f>
        <v>4</v>
      </c>
      <c r="Q10" s="47">
        <f>COUNTIF(E10:H10,"참석")+COUNTIF(E10:H10,"불참")+COUNTIF(J10:O10,"참석")+COUNTIF(J10:O10,"불참")</f>
        <v>10</v>
      </c>
      <c r="R10" s="49">
        <f>IF(Q10=0,"",P10/Q10)</f>
        <v>0.4</v>
      </c>
      <c r="S10" s="48"/>
    </row>
    <row r="11" spans="1:19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 t="s">
        <v>173</v>
      </c>
      <c r="P11" s="47">
        <f>COUNTIF(E11:H11,"참석")+COUNTIF(J11:O11,"참석")</f>
        <v>3</v>
      </c>
      <c r="Q11" s="47">
        <f>COUNTIF(E11:H11,"참석")+COUNTIF(E11:H11,"불참")+COUNTIF(J11:O11,"참석")+COUNTIF(J11:O11,"불참")</f>
        <v>10</v>
      </c>
      <c r="R11" s="49">
        <f>IF(Q11=0,"",P11/Q11)</f>
        <v>0.3</v>
      </c>
      <c r="S11" s="48"/>
    </row>
    <row r="12" spans="1:19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 t="s">
        <v>234</v>
      </c>
      <c r="P12" s="47">
        <f>COUNTIF(E12:H12,"참석")+COUNTIF(J12:O12,"참석")</f>
        <v>7</v>
      </c>
      <c r="Q12" s="47">
        <f>COUNTIF(E12:H12,"참석")+COUNTIF(E12:H12,"불참")+COUNTIF(J12:O12,"참석")+COUNTIF(J12:O12,"불참")</f>
        <v>10</v>
      </c>
      <c r="R12" s="49">
        <f>IF(Q12=0,"",P12/Q12)</f>
        <v>0.7</v>
      </c>
      <c r="S12" s="48"/>
    </row>
    <row r="13" spans="1:19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 t="s">
        <v>234</v>
      </c>
      <c r="P13" s="47">
        <f>COUNTIF(E13:H13,"참석")+COUNTIF(J13:O13,"참석")</f>
        <v>3</v>
      </c>
      <c r="Q13" s="47">
        <f>COUNTIF(E13:H13,"참석")+COUNTIF(E13:H13,"불참")+COUNTIF(J13:O13,"참석")+COUNTIF(J13:O13,"불참")</f>
        <v>10</v>
      </c>
      <c r="R13" s="49">
        <f>IF(Q13=0,"",P13/Q13)</f>
        <v>0.3</v>
      </c>
      <c r="S13" s="48"/>
    </row>
    <row r="14" spans="1:19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 t="s">
        <v>173</v>
      </c>
      <c r="P14" s="47">
        <f>COUNTIF(E14:H14,"참석")+COUNTIF(J14:O14,"참석")</f>
        <v>2</v>
      </c>
      <c r="Q14" s="47">
        <f>COUNTIF(E14:H14,"참석")+COUNTIF(E14:H14,"불참")+COUNTIF(J14:O14,"참석")+COUNTIF(J14:O14,"불참")</f>
        <v>10</v>
      </c>
      <c r="R14" s="49">
        <f>IF(Q14=0,"",P14/Q14)</f>
        <v>0.2</v>
      </c>
      <c r="S14" s="48"/>
    </row>
    <row r="15" spans="1:19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 t="s">
        <v>234</v>
      </c>
      <c r="P15" s="47">
        <f>COUNTIF(E15:H15,"참석")+COUNTIF(J15:O15,"참석")</f>
        <v>8</v>
      </c>
      <c r="Q15" s="47">
        <f>COUNTIF(E15:H15,"참석")+COUNTIF(E15:H15,"불참")+COUNTIF(J15:O15,"참석")+COUNTIF(J15:O15,"불참")</f>
        <v>10</v>
      </c>
      <c r="R15" s="49">
        <f>IF(Q15=0,"",P15/Q15)</f>
        <v>0.8</v>
      </c>
      <c r="S15" s="48"/>
    </row>
    <row r="16" spans="1:19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 t="s">
        <v>173</v>
      </c>
      <c r="P16" s="47">
        <f>COUNTIF(E16:H16,"참석")+COUNTIF(J16:O16,"참석")</f>
        <v>4</v>
      </c>
      <c r="Q16" s="47">
        <f>COUNTIF(E16:H16,"참석")+COUNTIF(E16:H16,"불참")+COUNTIF(J16:O16,"참석")+COUNTIF(J16:O16,"불참")</f>
        <v>10</v>
      </c>
      <c r="R16" s="49">
        <f>IF(Q16=0,"",P16/Q16)</f>
        <v>0.4</v>
      </c>
    </row>
    <row r="17" spans="1:19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 t="s">
        <v>234</v>
      </c>
      <c r="P17" s="47">
        <f>COUNTIF(E17:H17,"참석")+COUNTIF(J17:O17,"참석")</f>
        <v>8</v>
      </c>
      <c r="Q17" s="47">
        <f>COUNTIF(E17:H17,"참석")+COUNTIF(E17:H17,"불참")+COUNTIF(J17:O17,"참석")+COUNTIF(J17:O17,"불참")</f>
        <v>10</v>
      </c>
      <c r="R17" s="49">
        <f>IF(Q17=0,"",P17/Q17)</f>
        <v>0.8</v>
      </c>
    </row>
    <row r="18" spans="1:19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322</v>
      </c>
      <c r="N18" s="47" t="s">
        <v>173</v>
      </c>
      <c r="O18" s="47" t="s">
        <v>173</v>
      </c>
      <c r="P18" s="47">
        <f>COUNTIF(E18:H18,"참석")+COUNTIF(J18:O18,"참석")</f>
        <v>4</v>
      </c>
      <c r="Q18" s="47">
        <f>COUNTIF(E18:H18,"참석")+COUNTIF(E18:H18,"불참")+COUNTIF(J18:O18,"참석")+COUNTIF(J18:O18,"불참")</f>
        <v>10</v>
      </c>
      <c r="R18" s="49">
        <f>IF(Q18=0,"",P18/Q18)</f>
        <v>0.4</v>
      </c>
    </row>
    <row r="19" spans="1:19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 t="s">
        <v>234</v>
      </c>
      <c r="P19" s="47">
        <f>COUNTIF(E19:H19,"참석")+COUNTIF(J19:O19,"참석")</f>
        <v>7</v>
      </c>
      <c r="Q19" s="47">
        <f>COUNTIF(E19:H19,"참석")+COUNTIF(E19:H19,"불참")+COUNTIF(J19:O19,"참석")+COUNTIF(J19:O19,"불참")</f>
        <v>7</v>
      </c>
      <c r="R19" s="49">
        <f>IF(Q19=0,"",P19/Q19)</f>
        <v>1</v>
      </c>
      <c r="S19" s="46" t="s">
        <v>239</v>
      </c>
    </row>
    <row r="20" spans="1:19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 t="s">
        <v>173</v>
      </c>
      <c r="P20" s="47">
        <f>COUNTIF(E20:H20,"참석")+COUNTIF(J20:O20,"참석")</f>
        <v>5</v>
      </c>
      <c r="Q20" s="47">
        <f>COUNTIF(E20:H20,"참석")+COUNTIF(E20:H20,"불참")+COUNTIF(J20:O20,"참석")+COUNTIF(J20:O20,"불참")</f>
        <v>10</v>
      </c>
      <c r="R20" s="49">
        <f>IF(Q20=0,"",P20/Q20)</f>
        <v>0.5</v>
      </c>
    </row>
    <row r="21" spans="1:19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 t="s">
        <v>234</v>
      </c>
      <c r="P21" s="47">
        <f>COUNTIF(E21:H21,"참석")+COUNTIF(J21:O21,"참석")</f>
        <v>9</v>
      </c>
      <c r="Q21" s="47">
        <f>COUNTIF(E21:H21,"참석")+COUNTIF(E21:H21,"불참")+COUNTIF(J21:O21,"참석")+COUNTIF(J21:O21,"불참")</f>
        <v>10</v>
      </c>
      <c r="R21" s="49">
        <f>IF(Q21=0,"",P21/Q21)</f>
        <v>0.9</v>
      </c>
    </row>
    <row r="22" spans="1:19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 t="s">
        <v>234</v>
      </c>
      <c r="P22" s="47">
        <f>COUNTIF(E22:H22,"참석")+COUNTIF(J22:O22,"참석")</f>
        <v>4</v>
      </c>
      <c r="Q22" s="47">
        <f>COUNTIF(E22:H22,"참석")+COUNTIF(E22:H22,"불참")+COUNTIF(J22:O22,"참석")+COUNTIF(J22:O22,"불참")</f>
        <v>10</v>
      </c>
      <c r="R22" s="49">
        <f>IF(Q22=0,"",P22/Q22)</f>
        <v>0.4</v>
      </c>
    </row>
    <row r="23" spans="1:19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 t="s">
        <v>234</v>
      </c>
      <c r="P23" s="47">
        <f>COUNTIF(E23:H23,"참석")+COUNTIF(J23:O23,"참석")</f>
        <v>7</v>
      </c>
      <c r="Q23" s="47">
        <f>COUNTIF(E23:H23,"참석")+COUNTIF(E23:H23,"불참")+COUNTIF(J23:O23,"참석")+COUNTIF(J23:O23,"불참")</f>
        <v>10</v>
      </c>
      <c r="R23" s="49">
        <f>IF(Q23=0,"",P23/Q23)</f>
        <v>0.7</v>
      </c>
    </row>
    <row r="24" spans="1:19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 t="s">
        <v>234</v>
      </c>
      <c r="P24" s="47">
        <f>COUNTIF(E24:H24,"참석")+COUNTIF(J24:O24,"참석")</f>
        <v>4</v>
      </c>
      <c r="Q24" s="47">
        <f>COUNTIF(E24:H24,"참석")+COUNTIF(E24:H24,"불참")+COUNTIF(J24:O24,"참석")+COUNTIF(J24:O24,"불참")</f>
        <v>10</v>
      </c>
      <c r="R24" s="49">
        <f>IF(Q24=0,"",P24/Q24)</f>
        <v>0.4</v>
      </c>
    </row>
    <row r="25" spans="1:19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 t="s">
        <v>234</v>
      </c>
      <c r="P25" s="47">
        <f>COUNTIF(E25:H25,"참석")+COUNTIF(J25:O25,"참석")</f>
        <v>10</v>
      </c>
      <c r="Q25" s="47">
        <f>COUNTIF(E25:H25,"참석")+COUNTIF(E25:H25,"불참")+COUNTIF(J25:O25,"참석")+COUNTIF(J25:O25,"불참")</f>
        <v>10</v>
      </c>
      <c r="R25" s="49">
        <f>IF(Q25=0,"",P25/Q25)</f>
        <v>1</v>
      </c>
    </row>
    <row r="26" spans="1:19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 t="s">
        <v>173</v>
      </c>
      <c r="P26" s="47">
        <f>COUNTIF(E26:H26,"참석")+COUNTIF(J26:O26,"참석")</f>
        <v>1</v>
      </c>
      <c r="Q26" s="47">
        <f>COUNTIF(E26:H26,"참석")+COUNTIF(E26:H26,"불참")+COUNTIF(J26:O26,"참석")+COUNTIF(J26:O26,"불참")</f>
        <v>10</v>
      </c>
      <c r="R26" s="49">
        <f>IF(Q26=0,"",P26/Q26)</f>
        <v>0.1</v>
      </c>
    </row>
    <row r="27" spans="1:19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 t="s">
        <v>234</v>
      </c>
      <c r="P27" s="47">
        <f>COUNTIF(E27:H27,"참석")+COUNTIF(J27:O27,"참석")</f>
        <v>8</v>
      </c>
      <c r="Q27" s="47">
        <f>COUNTIF(E27:H27,"참석")+COUNTIF(E27:H27,"불참")+COUNTIF(J27:O27,"참석")+COUNTIF(J27:O27,"불참")</f>
        <v>10</v>
      </c>
      <c r="R27" s="49">
        <f>IF(Q27=0,"",P27/Q27)</f>
        <v>0.8</v>
      </c>
    </row>
    <row r="28" spans="1:19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 t="s">
        <v>234</v>
      </c>
      <c r="P28" s="47">
        <f>COUNTIF(E28:H28,"참석")+COUNTIF(J28:O28,"참석")</f>
        <v>10</v>
      </c>
      <c r="Q28" s="47">
        <f>COUNTIF(E28:H28,"참석")+COUNTIF(E28:H28,"불참")+COUNTIF(J28:O28,"참석")+COUNTIF(J28:O28,"불참")</f>
        <v>10</v>
      </c>
      <c r="R28" s="49">
        <f>IF(Q28=0,"",P28/Q28)</f>
        <v>1</v>
      </c>
    </row>
    <row r="29" spans="1:19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 t="s">
        <v>173</v>
      </c>
      <c r="P29" s="47">
        <f>COUNTIF(E29:H29,"참석")+COUNTIF(J29:O29,"참석")</f>
        <v>3</v>
      </c>
      <c r="Q29" s="47">
        <f>COUNTIF(E29:H29,"참석")+COUNTIF(E29:H29,"불참")+COUNTIF(J29:O29,"참석")+COUNTIF(J29:O29,"불참")</f>
        <v>10</v>
      </c>
      <c r="R29" s="49">
        <f>IF(Q29=0,"",P29/Q29)</f>
        <v>0.3</v>
      </c>
    </row>
    <row r="30" spans="1:19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 t="s">
        <v>173</v>
      </c>
      <c r="P30" s="47">
        <f>COUNTIF(E30:H30,"참석")+COUNTIF(J30:O30,"참석")</f>
        <v>1</v>
      </c>
      <c r="Q30" s="47">
        <f>COUNTIF(E30:H30,"참석")+COUNTIF(E30:H30,"불참")+COUNTIF(J30:O30,"참석")+COUNTIF(J30:O30,"불참")</f>
        <v>10</v>
      </c>
      <c r="R30" s="49">
        <f>IF(Q30=0,"",P30/Q30)</f>
        <v>0.1</v>
      </c>
    </row>
    <row r="31" spans="1:19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R31" s="49" t="str">
        <f t="shared" ref="R31" si="0">IF(Q31=0,"",P31/Q31)</f>
        <v/>
      </c>
    </row>
  </sheetData>
  <autoFilter ref="A1:S31" xr:uid="{C0625D6E-2678-482C-88B1-4B31BC9434B5}">
    <sortState xmlns:xlrd2="http://schemas.microsoft.com/office/spreadsheetml/2017/richdata2" ref="A2:S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2026-07-27T06:18:46Z</dcterms:modified>
</cp:coreProperties>
</file>