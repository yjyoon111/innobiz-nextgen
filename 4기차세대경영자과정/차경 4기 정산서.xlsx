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D52EA5E7-A981-4E32-91EF-F23ED3CE7924}" xr6:coauthVersionLast="47" xr6:coauthVersionMax="47" xr10:uidLastSave="{00000000-0000-0000-0000-000000000000}"/>
  <bookViews>
    <workbookView xWindow="2868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출석현황'!$A$1:$P$31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0" i="14" l="1"/>
  <c r="N30" i="14"/>
  <c r="M30" i="14"/>
  <c r="O29" i="14"/>
  <c r="N29" i="14"/>
  <c r="M29" i="14"/>
  <c r="O28" i="14"/>
  <c r="N28" i="14"/>
  <c r="M28" i="14"/>
  <c r="O27" i="14"/>
  <c r="N27" i="14"/>
  <c r="M27" i="14"/>
  <c r="O26" i="14"/>
  <c r="N26" i="14"/>
  <c r="M26" i="14"/>
  <c r="O25" i="14"/>
  <c r="N25" i="14"/>
  <c r="M25" i="14"/>
  <c r="O24" i="14"/>
  <c r="N24" i="14"/>
  <c r="M24" i="14"/>
  <c r="O23" i="14"/>
  <c r="N23" i="14"/>
  <c r="M23" i="14"/>
  <c r="O22" i="14"/>
  <c r="N22" i="14"/>
  <c r="M22" i="14"/>
  <c r="O21" i="14"/>
  <c r="N21" i="14"/>
  <c r="M21" i="14"/>
  <c r="O20" i="14"/>
  <c r="N20" i="14"/>
  <c r="M20" i="14"/>
  <c r="O19" i="14"/>
  <c r="N19" i="14"/>
  <c r="M19" i="14"/>
  <c r="O18" i="14"/>
  <c r="N18" i="14"/>
  <c r="M18" i="14"/>
  <c r="O17" i="14"/>
  <c r="N17" i="14"/>
  <c r="M17" i="14"/>
  <c r="O16" i="14"/>
  <c r="N16" i="14"/>
  <c r="M16" i="14"/>
  <c r="O15" i="14"/>
  <c r="N15" i="14"/>
  <c r="M15" i="14"/>
  <c r="O14" i="14"/>
  <c r="N14" i="14"/>
  <c r="M14" i="14"/>
  <c r="O13" i="14"/>
  <c r="N13" i="14"/>
  <c r="M13" i="14"/>
  <c r="O12" i="14"/>
  <c r="N12" i="14"/>
  <c r="M12" i="14"/>
  <c r="O11" i="14"/>
  <c r="N11" i="14"/>
  <c r="M11" i="14"/>
  <c r="O10" i="14"/>
  <c r="N10" i="14"/>
  <c r="M10" i="14"/>
  <c r="O9" i="14"/>
  <c r="N9" i="14"/>
  <c r="M9" i="14"/>
  <c r="O8" i="14"/>
  <c r="N8" i="14"/>
  <c r="M8" i="14"/>
  <c r="O7" i="14"/>
  <c r="N7" i="14"/>
  <c r="M7" i="14"/>
  <c r="O6" i="14"/>
  <c r="N6" i="14"/>
  <c r="M6" i="14"/>
  <c r="O5" i="14"/>
  <c r="N5" i="14"/>
  <c r="M5" i="14"/>
  <c r="O4" i="14"/>
  <c r="N4" i="14"/>
  <c r="M4" i="14"/>
  <c r="O3" i="14"/>
  <c r="N3" i="14"/>
  <c r="M3" i="14"/>
  <c r="O2" i="14"/>
  <c r="N2" i="14"/>
  <c r="M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O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<sst xmlns="http://schemas.openxmlformats.org/spreadsheetml/2006/main" count="690" uniqueCount="306">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</sst>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3411500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14563500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45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3000000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P31"/>
  <sheetViews>
    <sheetView workbookViewId="0">
      <selection activeCell="L1" sqref="L1:L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2" width="16" style="46" customWidth="1"/>
    <col min="13" max="14" width="12" style="46" customWidth="1"/>
    <col min="15" max="15" width="10" style="46" customWidth="1"/>
    <col min="16" max="16" width="30" style="46" customWidth="1"/>
    <col min="17" max="16384" width="9" style="46"/>
  </cols>
  <sheetData>
    <row r="1" spans="1:16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156</v>
      </c>
      <c r="N1" s="45" t="s">
        <v>157</v>
      </c>
      <c r="O1" s="45" t="s">
        <v>158</v>
      </c>
      <c r="P1" s="45" t="s">
        <v>159</v>
      </c>
    </row>
    <row r="2" spans="1:16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>
        <f t="shared" ref="M2:M30" si="0">COUNTIF(E2:H2,"참석")+COUNTIF(J2:L2,"참석")</f>
        <v>7</v>
      </c>
      <c r="N2" s="47">
        <f t="shared" ref="N2:N30" si="1">COUNTIF(E2:H2,"참석")+COUNTIF(E2:H2,"불참")+COUNTIF(J2:L2,"참석")+COUNTIF(J2:L2,"불참")</f>
        <v>7</v>
      </c>
      <c r="O2" s="49">
        <f t="shared" ref="O2:O30" si="2">IF(N2=0,"",M2/N2)</f>
        <v>1</v>
      </c>
      <c r="P2" s="48"/>
    </row>
    <row r="3" spans="1:16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>
        <f t="shared" si="0"/>
        <v>7</v>
      </c>
      <c r="N3" s="47">
        <f t="shared" si="1"/>
        <v>7</v>
      </c>
      <c r="O3" s="49">
        <f t="shared" si="2"/>
        <v>1</v>
      </c>
      <c r="P3" s="48"/>
    </row>
    <row r="4" spans="1:16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>
        <f t="shared" si="0"/>
        <v>7</v>
      </c>
      <c r="N4" s="47">
        <f t="shared" si="1"/>
        <v>7</v>
      </c>
      <c r="O4" s="49">
        <f t="shared" si="2"/>
        <v>1</v>
      </c>
      <c r="P4" s="48"/>
    </row>
    <row r="5" spans="1:16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>
        <f t="shared" si="0"/>
        <v>7</v>
      </c>
      <c r="N5" s="47">
        <f t="shared" si="1"/>
        <v>7</v>
      </c>
      <c r="O5" s="49">
        <f t="shared" si="2"/>
        <v>1</v>
      </c>
      <c r="P5" s="48"/>
    </row>
    <row r="6" spans="1:16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>
        <f t="shared" si="0"/>
        <v>5</v>
      </c>
      <c r="N6" s="47">
        <f t="shared" si="1"/>
        <v>7</v>
      </c>
      <c r="O6" s="49">
        <f t="shared" si="2"/>
        <v>0.7142857142857143</v>
      </c>
      <c r="P6" s="48"/>
    </row>
    <row r="7" spans="1:16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>
        <f t="shared" si="0"/>
        <v>7</v>
      </c>
      <c r="N7" s="47">
        <f t="shared" si="1"/>
        <v>7</v>
      </c>
      <c r="O7" s="49">
        <f t="shared" si="2"/>
        <v>1</v>
      </c>
      <c r="P7" s="48"/>
    </row>
    <row r="8" spans="1:16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>
        <f t="shared" si="0"/>
        <v>3</v>
      </c>
      <c r="N8" s="47">
        <f t="shared" si="1"/>
        <v>7</v>
      </c>
      <c r="O8" s="49">
        <f t="shared" si="2"/>
        <v>0.42857142857142855</v>
      </c>
      <c r="P8" s="48"/>
    </row>
    <row r="9" spans="1:16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>
        <f t="shared" si="0"/>
        <v>4</v>
      </c>
      <c r="N9" s="47">
        <f t="shared" si="1"/>
        <v>5</v>
      </c>
      <c r="O9" s="49">
        <f t="shared" si="2"/>
        <v>0.8</v>
      </c>
      <c r="P9" s="48" t="s">
        <v>240</v>
      </c>
    </row>
    <row r="10" spans="1:16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>
        <f t="shared" si="0"/>
        <v>4</v>
      </c>
      <c r="N10" s="47">
        <f t="shared" si="1"/>
        <v>7</v>
      </c>
      <c r="O10" s="49">
        <f t="shared" si="2"/>
        <v>0.5714285714285714</v>
      </c>
      <c r="P10" s="48"/>
    </row>
    <row r="11" spans="1:16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>
        <f t="shared" si="0"/>
        <v>3</v>
      </c>
      <c r="N11" s="47">
        <f t="shared" si="1"/>
        <v>7</v>
      </c>
      <c r="O11" s="49">
        <f t="shared" si="2"/>
        <v>0.42857142857142855</v>
      </c>
      <c r="P11" s="48"/>
    </row>
    <row r="12" spans="1:16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>
        <f t="shared" si="0"/>
        <v>5</v>
      </c>
      <c r="N12" s="47">
        <f t="shared" si="1"/>
        <v>7</v>
      </c>
      <c r="O12" s="49">
        <f t="shared" si="2"/>
        <v>0.7142857142857143</v>
      </c>
      <c r="P12" s="48"/>
    </row>
    <row r="13" spans="1:16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>
        <f t="shared" si="0"/>
        <v>2</v>
      </c>
      <c r="N13" s="47">
        <f t="shared" si="1"/>
        <v>7</v>
      </c>
      <c r="O13" s="49">
        <f t="shared" si="2"/>
        <v>0.2857142857142857</v>
      </c>
      <c r="P13" s="48"/>
    </row>
    <row r="14" spans="1:16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>
        <f t="shared" si="0"/>
        <v>2</v>
      </c>
      <c r="N14" s="47">
        <f t="shared" si="1"/>
        <v>7</v>
      </c>
      <c r="O14" s="49">
        <f t="shared" si="2"/>
        <v>0.2857142857142857</v>
      </c>
      <c r="P14" s="48"/>
    </row>
    <row r="15" spans="1:16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>
        <f t="shared" si="0"/>
        <v>6</v>
      </c>
      <c r="N15" s="47">
        <f t="shared" si="1"/>
        <v>7</v>
      </c>
      <c r="O15" s="49">
        <f t="shared" si="2"/>
        <v>0.8571428571428571</v>
      </c>
      <c r="P15" s="48"/>
    </row>
    <row r="16" spans="1:16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>
        <f t="shared" si="0"/>
        <v>3</v>
      </c>
      <c r="N16" s="47">
        <f t="shared" si="1"/>
        <v>7</v>
      </c>
      <c r="O16" s="49">
        <f t="shared" si="2"/>
        <v>0.42857142857142855</v>
      </c>
    </row>
    <row r="17" spans="1:16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>
        <f t="shared" si="0"/>
        <v>5</v>
      </c>
      <c r="N17" s="47">
        <f t="shared" si="1"/>
        <v>7</v>
      </c>
      <c r="O17" s="49">
        <f t="shared" si="2"/>
        <v>0.7142857142857143</v>
      </c>
    </row>
    <row r="18" spans="1:16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>
        <f t="shared" si="0"/>
        <v>3</v>
      </c>
      <c r="N18" s="47">
        <f t="shared" si="1"/>
        <v>7</v>
      </c>
      <c r="O18" s="49">
        <f t="shared" si="2"/>
        <v>0.42857142857142855</v>
      </c>
    </row>
    <row r="19" spans="1:16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>
        <f t="shared" si="0"/>
        <v>4</v>
      </c>
      <c r="N19" s="47">
        <f t="shared" si="1"/>
        <v>4</v>
      </c>
      <c r="O19" s="49">
        <f t="shared" si="2"/>
        <v>1</v>
      </c>
      <c r="P19" s="46" t="s">
        <v>239</v>
      </c>
    </row>
    <row r="20" spans="1:16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>
        <f t="shared" si="0"/>
        <v>5</v>
      </c>
      <c r="N20" s="47">
        <f t="shared" si="1"/>
        <v>7</v>
      </c>
      <c r="O20" s="49">
        <f t="shared" si="2"/>
        <v>0.7142857142857143</v>
      </c>
    </row>
    <row r="21" spans="1:16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>
        <f t="shared" si="0"/>
        <v>6</v>
      </c>
      <c r="N21" s="47">
        <f t="shared" si="1"/>
        <v>7</v>
      </c>
      <c r="O21" s="49">
        <f t="shared" si="2"/>
        <v>0.8571428571428571</v>
      </c>
    </row>
    <row r="22" spans="1:16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>
        <f t="shared" si="0"/>
        <v>3</v>
      </c>
      <c r="N22" s="47">
        <f t="shared" si="1"/>
        <v>7</v>
      </c>
      <c r="O22" s="49">
        <f t="shared" si="2"/>
        <v>0.42857142857142855</v>
      </c>
    </row>
    <row r="23" spans="1:16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>
        <f t="shared" si="0"/>
        <v>5</v>
      </c>
      <c r="N23" s="47">
        <f t="shared" si="1"/>
        <v>7</v>
      </c>
      <c r="O23" s="49">
        <f t="shared" si="2"/>
        <v>0.7142857142857143</v>
      </c>
    </row>
    <row r="24" spans="1:16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>
        <f t="shared" si="0"/>
        <v>2</v>
      </c>
      <c r="N24" s="47">
        <f t="shared" si="1"/>
        <v>7</v>
      </c>
      <c r="O24" s="49">
        <f t="shared" si="2"/>
        <v>0.2857142857142857</v>
      </c>
    </row>
    <row r="25" spans="1:16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>
        <f t="shared" si="0"/>
        <v>7</v>
      </c>
      <c r="N25" s="47">
        <f t="shared" si="1"/>
        <v>7</v>
      </c>
      <c r="O25" s="49">
        <f t="shared" si="2"/>
        <v>1</v>
      </c>
    </row>
    <row r="26" spans="1:16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>
        <f t="shared" si="0"/>
        <v>1</v>
      </c>
      <c r="N26" s="47">
        <f t="shared" si="1"/>
        <v>7</v>
      </c>
      <c r="O26" s="49">
        <f t="shared" si="2"/>
        <v>0.14285714285714285</v>
      </c>
    </row>
    <row r="27" spans="1:16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>
        <f t="shared" si="0"/>
        <v>6</v>
      </c>
      <c r="N27" s="47">
        <f t="shared" si="1"/>
        <v>7</v>
      </c>
      <c r="O27" s="49">
        <f t="shared" si="2"/>
        <v>0.8571428571428571</v>
      </c>
    </row>
    <row r="28" spans="1:16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>
        <f t="shared" si="0"/>
        <v>7</v>
      </c>
      <c r="N28" s="47">
        <f t="shared" si="1"/>
        <v>7</v>
      </c>
      <c r="O28" s="49">
        <f t="shared" si="2"/>
        <v>1</v>
      </c>
    </row>
    <row r="29" spans="1:16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>
        <f t="shared" si="0"/>
        <v>2</v>
      </c>
      <c r="N29" s="47">
        <f t="shared" si="1"/>
        <v>7</v>
      </c>
      <c r="O29" s="49">
        <f t="shared" si="2"/>
        <v>0.2857142857142857</v>
      </c>
    </row>
    <row r="30" spans="1:16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>
        <f t="shared" si="0"/>
        <v>1</v>
      </c>
      <c r="N30" s="47">
        <f t="shared" si="1"/>
        <v>7</v>
      </c>
      <c r="O30" s="49">
        <f t="shared" si="2"/>
        <v>0.14285714285714285</v>
      </c>
    </row>
    <row r="31" spans="1:16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O31" s="49" t="str">
        <f t="shared" ref="O31" si="3">IF(N31=0,"",M31/N31)</f>
        <v/>
      </c>
    </row>
  </sheetData>
  <autoFilter ref="A1:P31" xr:uid="{C0625D6E-2678-482C-88B1-4B31BC9434B5}">
    <sortState xmlns:xlrd2="http://schemas.microsoft.com/office/spreadsheetml/2017/richdata2" ref="A2:P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2026-06-29T08:28:17Z</dcterms:modified>
</cp:coreProperties>
</file>