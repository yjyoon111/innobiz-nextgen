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8DA5450F-05A7-49C0-9A29-6461604080D4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출석현황'!$A$1:$O$31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0" i="14" l="1"/>
  <c r="M30" i="14"/>
  <c r="L30" i="14"/>
  <c r="N29" i="14"/>
  <c r="M29" i="14"/>
  <c r="L29" i="14"/>
  <c r="N28" i="14"/>
  <c r="M28" i="14"/>
  <c r="L28" i="14"/>
  <c r="N27" i="14"/>
  <c r="M27" i="14"/>
  <c r="L27" i="14"/>
  <c r="N26" i="14"/>
  <c r="M26" i="14"/>
  <c r="L26" i="14"/>
  <c r="N25" i="14"/>
  <c r="M25" i="14"/>
  <c r="L25" i="14"/>
  <c r="N24" i="14"/>
  <c r="M24" i="14"/>
  <c r="L24" i="14"/>
  <c r="N23" i="14"/>
  <c r="M23" i="14"/>
  <c r="L23" i="14"/>
  <c r="N22" i="14"/>
  <c r="M22" i="14"/>
  <c r="L22" i="14"/>
  <c r="N21" i="14"/>
  <c r="M21" i="14"/>
  <c r="L21" i="14"/>
  <c r="N20" i="14"/>
  <c r="M20" i="14"/>
  <c r="L20" i="14"/>
  <c r="N19" i="14"/>
  <c r="M19" i="14"/>
  <c r="L19" i="14"/>
  <c r="N18" i="14"/>
  <c r="M18" i="14"/>
  <c r="L18" i="14"/>
  <c r="N17" i="14"/>
  <c r="M17" i="14"/>
  <c r="L17" i="14"/>
  <c r="N16" i="14"/>
  <c r="M16" i="14"/>
  <c r="L16" i="14"/>
  <c r="N15" i="14"/>
  <c r="M15" i="14"/>
  <c r="L15" i="14"/>
  <c r="N14" i="14"/>
  <c r="M14" i="14"/>
  <c r="L14" i="14"/>
  <c r="N13" i="14"/>
  <c r="M13" i="14"/>
  <c r="L13" i="14"/>
  <c r="N12" i="14"/>
  <c r="M12" i="14"/>
  <c r="L12" i="14"/>
  <c r="N11" i="14"/>
  <c r="M11" i="14"/>
  <c r="L11" i="14"/>
  <c r="N10" i="14"/>
  <c r="M10" i="14"/>
  <c r="L10" i="14"/>
  <c r="N9" i="14"/>
  <c r="M9" i="14"/>
  <c r="L9" i="14"/>
  <c r="N8" i="14"/>
  <c r="M8" i="14"/>
  <c r="L8" i="14"/>
  <c r="N7" i="14"/>
  <c r="M7" i="14"/>
  <c r="L7" i="14"/>
  <c r="N6" i="14"/>
  <c r="M6" i="14"/>
  <c r="L6" i="14"/>
  <c r="N5" i="14"/>
  <c r="M5" i="14"/>
  <c r="L5" i="14"/>
  <c r="N4" i="14"/>
  <c r="M4" i="14"/>
  <c r="L4" i="14"/>
  <c r="N3" i="14"/>
  <c r="M3" i="14"/>
  <c r="L3" i="14"/>
  <c r="N2" i="14"/>
  <c r="M2" i="14"/>
  <c r="L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N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<sst xmlns="http://schemas.openxmlformats.org/spreadsheetml/2006/main" count="640" uniqueCount="292">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</sst>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3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1" t="s">
        <v>105</v>
      </c>
      <c r="B1" s="72"/>
      <c r="C1" s="72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1" t="s">
        <v>241</v>
      </c>
      <c r="B1" s="71"/>
      <c r="C1" s="71"/>
      <c r="D1" s="71"/>
      <c r="E1" s="71"/>
      <c r="F1" s="71"/>
      <c r="G1" s="71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1" t="s">
        <v>105</v>
      </c>
      <c r="B1" s="71"/>
      <c r="C1" s="71"/>
      <c r="D1" s="71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3411500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14563500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40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1" t="s">
        <v>105</v>
      </c>
      <c r="B1" s="71"/>
      <c r="C1" s="71"/>
      <c r="D1" s="71"/>
      <c r="E1" s="71"/>
      <c r="F1" s="71"/>
      <c r="G1" s="71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3000000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O31"/>
  <sheetViews>
    <sheetView workbookViewId="0">
      <selection activeCell="I1" sqref="I1:K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1" width="16" style="46" customWidth="1"/>
    <col min="12" max="13" width="12" style="46" customWidth="1"/>
    <col min="14" max="14" width="10" style="46" customWidth="1"/>
    <col min="15" max="15" width="30" style="46" customWidth="1"/>
    <col min="16" max="16384" width="9" style="46"/>
  </cols>
  <sheetData>
    <row r="1" spans="1:15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156</v>
      </c>
      <c r="M1" s="45" t="s">
        <v>157</v>
      </c>
      <c r="N1" s="45" t="s">
        <v>158</v>
      </c>
      <c r="O1" s="45" t="s">
        <v>159</v>
      </c>
    </row>
    <row r="2" spans="1:15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>
        <f>COUNTIF(E2:H2,"참석")+COUNTIF(J2:K2,"참석")</f>
        <v>6</v>
      </c>
      <c r="M2" s="47">
        <f>COUNTIF(E2:H2,"참석")+COUNTIF(E2:H2,"불참")+COUNTIF(J2:K2,"참석")+COUNTIF(J2:K2,"불참")</f>
        <v>6</v>
      </c>
      <c r="N2" s="49">
        <f>IF(M2=0,"",L2/M2)</f>
        <v>1</v>
      </c>
      <c r="O2" s="48"/>
    </row>
    <row r="3" spans="1:15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>
        <f>COUNTIF(E3:H3,"참석")+COUNTIF(J3:K3,"참석")</f>
        <v>6</v>
      </c>
      <c r="M3" s="47">
        <f>COUNTIF(E3:H3,"참석")+COUNTIF(E3:H3,"불참")+COUNTIF(J3:K3,"참석")+COUNTIF(J3:K3,"불참")</f>
        <v>6</v>
      </c>
      <c r="N3" s="49">
        <f>IF(M3=0,"",L3/M3)</f>
        <v>1</v>
      </c>
      <c r="O3" s="48"/>
    </row>
    <row r="4" spans="1:15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>
        <f>COUNTIF(E4:H4,"참석")+COUNTIF(J4:K4,"참석")</f>
        <v>6</v>
      </c>
      <c r="M4" s="47">
        <f>COUNTIF(E4:H4,"참석")+COUNTIF(E4:H4,"불참")+COUNTIF(J4:K4,"참석")+COUNTIF(J4:K4,"불참")</f>
        <v>6</v>
      </c>
      <c r="N4" s="49">
        <f>IF(M4=0,"",L4/M4)</f>
        <v>1</v>
      </c>
      <c r="O4" s="48"/>
    </row>
    <row r="5" spans="1:15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>
        <f>COUNTIF(E5:H5,"참석")+COUNTIF(J5:K5,"참석")</f>
        <v>6</v>
      </c>
      <c r="M5" s="47">
        <f>COUNTIF(E5:H5,"참석")+COUNTIF(E5:H5,"불참")+COUNTIF(J5:K5,"참석")+COUNTIF(J5:K5,"불참")</f>
        <v>6</v>
      </c>
      <c r="N5" s="49">
        <f>IF(M5=0,"",L5/M5)</f>
        <v>1</v>
      </c>
      <c r="O5" s="48"/>
    </row>
    <row r="6" spans="1:15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>
        <f>COUNTIF(E6:H6,"참석")+COUNTIF(J6:K6,"참석")</f>
        <v>4</v>
      </c>
      <c r="M6" s="47">
        <f>COUNTIF(E6:H6,"참석")+COUNTIF(E6:H6,"불참")+COUNTIF(J6:K6,"참석")+COUNTIF(J6:K6,"불참")</f>
        <v>6</v>
      </c>
      <c r="N6" s="49">
        <f>IF(M6=0,"",L6/M6)</f>
        <v>0.66666666666666663</v>
      </c>
      <c r="O6" s="48"/>
    </row>
    <row r="7" spans="1:15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>
        <f>COUNTIF(E7:H7,"참석")+COUNTIF(J7:K7,"참석")</f>
        <v>6</v>
      </c>
      <c r="M7" s="47">
        <f>COUNTIF(E7:H7,"참석")+COUNTIF(E7:H7,"불참")+COUNTIF(J7:K7,"참석")+COUNTIF(J7:K7,"불참")</f>
        <v>6</v>
      </c>
      <c r="N7" s="49">
        <f>IF(M7=0,"",L7/M7)</f>
        <v>1</v>
      </c>
      <c r="O7" s="48"/>
    </row>
    <row r="8" spans="1:15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>
        <f>COUNTIF(E8:H8,"참석")+COUNTIF(J8:K8,"참석")</f>
        <v>3</v>
      </c>
      <c r="M8" s="47">
        <f>COUNTIF(E8:H8,"참석")+COUNTIF(E8:H8,"불참")+COUNTIF(J8:K8,"참석")+COUNTIF(J8:K8,"불참")</f>
        <v>6</v>
      </c>
      <c r="N8" s="49">
        <f>IF(M8=0,"",L8/M8)</f>
        <v>0.5</v>
      </c>
      <c r="O8" s="48"/>
    </row>
    <row r="9" spans="1:15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>
        <f>COUNTIF(E9:H9,"참석")+COUNTIF(J9:K9,"참석")</f>
        <v>3</v>
      </c>
      <c r="M9" s="47">
        <f>COUNTIF(E9:H9,"참석")+COUNTIF(E9:H9,"불참")+COUNTIF(J9:K9,"참석")+COUNTIF(J9:K9,"불참")</f>
        <v>4</v>
      </c>
      <c r="N9" s="49">
        <f>IF(M9=0,"",L9/M9)</f>
        <v>0.75</v>
      </c>
      <c r="O9" s="48" t="s">
        <v>240</v>
      </c>
    </row>
    <row r="10" spans="1:15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>
        <f>COUNTIF(E10:H10,"참석")+COUNTIF(J10:K10,"참석")</f>
        <v>3</v>
      </c>
      <c r="M10" s="47">
        <f>COUNTIF(E10:H10,"참석")+COUNTIF(E10:H10,"불참")+COUNTIF(J10:K10,"참석")+COUNTIF(J10:K10,"불참")</f>
        <v>6</v>
      </c>
      <c r="N10" s="49">
        <f>IF(M10=0,"",L10/M10)</f>
        <v>0.5</v>
      </c>
      <c r="O10" s="48"/>
    </row>
    <row r="11" spans="1:15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>
        <f>COUNTIF(E11:H11,"참석")+COUNTIF(J11:K11,"참석")</f>
        <v>3</v>
      </c>
      <c r="M11" s="47">
        <f>COUNTIF(E11:H11,"참석")+COUNTIF(E11:H11,"불참")+COUNTIF(J11:K11,"참석")+COUNTIF(J11:K11,"불참")</f>
        <v>6</v>
      </c>
      <c r="N11" s="49">
        <f>IF(M11=0,"",L11/M11)</f>
        <v>0.5</v>
      </c>
      <c r="O11" s="48"/>
    </row>
    <row r="12" spans="1:15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>
        <f>COUNTIF(E12:H12,"참석")+COUNTIF(J12:K12,"참석")</f>
        <v>4</v>
      </c>
      <c r="M12" s="47">
        <f>COUNTIF(E12:H12,"참석")+COUNTIF(E12:H12,"불참")+COUNTIF(J12:K12,"참석")+COUNTIF(J12:K12,"불참")</f>
        <v>6</v>
      </c>
      <c r="N12" s="49">
        <f>IF(M12=0,"",L12/M12)</f>
        <v>0.66666666666666663</v>
      </c>
      <c r="O12" s="48"/>
    </row>
    <row r="13" spans="1:15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>
        <f>COUNTIF(E13:H13,"참석")+COUNTIF(J13:K13,"참석")</f>
        <v>2</v>
      </c>
      <c r="M13" s="47">
        <f>COUNTIF(E13:H13,"참석")+COUNTIF(E13:H13,"불참")+COUNTIF(J13:K13,"참석")+COUNTIF(J13:K13,"불참")</f>
        <v>6</v>
      </c>
      <c r="N13" s="49">
        <f>IF(M13=0,"",L13/M13)</f>
        <v>0.33333333333333331</v>
      </c>
      <c r="O13" s="48"/>
    </row>
    <row r="14" spans="1:15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>
        <f>COUNTIF(E14:H14,"참석")+COUNTIF(J14:K14,"참석")</f>
        <v>2</v>
      </c>
      <c r="M14" s="47">
        <f>COUNTIF(E14:H14,"참석")+COUNTIF(E14:H14,"불참")+COUNTIF(J14:K14,"참석")+COUNTIF(J14:K14,"불참")</f>
        <v>6</v>
      </c>
      <c r="N14" s="49">
        <f>IF(M14=0,"",L14/M14)</f>
        <v>0.33333333333333331</v>
      </c>
      <c r="O14" s="48"/>
    </row>
    <row r="15" spans="1:15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>
        <f>COUNTIF(E15:H15,"참석")+COUNTIF(J15:K15,"참석")</f>
        <v>5</v>
      </c>
      <c r="M15" s="47">
        <f>COUNTIF(E15:H15,"참석")+COUNTIF(E15:H15,"불참")+COUNTIF(J15:K15,"참석")+COUNTIF(J15:K15,"불참")</f>
        <v>6</v>
      </c>
      <c r="N15" s="49">
        <f>IF(M15=0,"",L15/M15)</f>
        <v>0.83333333333333337</v>
      </c>
      <c r="O15" s="48"/>
    </row>
    <row r="16" spans="1:15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>
        <f>COUNTIF(E16:H16,"참석")+COUNTIF(J16:K16,"참석")</f>
        <v>3</v>
      </c>
      <c r="M16" s="47">
        <f>COUNTIF(E16:H16,"참석")+COUNTIF(E16:H16,"불참")+COUNTIF(J16:K16,"참석")+COUNTIF(J16:K16,"불참")</f>
        <v>6</v>
      </c>
      <c r="N16" s="49">
        <f>IF(M16=0,"",L16/M16)</f>
        <v>0.5</v>
      </c>
    </row>
    <row r="17" spans="1:15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>
        <f>COUNTIF(E17:H17,"참석")+COUNTIF(J17:K17,"참석")</f>
        <v>5</v>
      </c>
      <c r="M17" s="47">
        <f>COUNTIF(E17:H17,"참석")+COUNTIF(E17:H17,"불참")+COUNTIF(J17:K17,"참석")+COUNTIF(J17:K17,"불참")</f>
        <v>6</v>
      </c>
      <c r="N17" s="49">
        <f>IF(M17=0,"",L17/M17)</f>
        <v>0.83333333333333337</v>
      </c>
    </row>
    <row r="18" spans="1:15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>
        <f>COUNTIF(E18:H18,"참석")+COUNTIF(J18:K18,"참석")</f>
        <v>2</v>
      </c>
      <c r="M18" s="47">
        <f>COUNTIF(E18:H18,"참석")+COUNTIF(E18:H18,"불참")+COUNTIF(J18:K18,"참석")+COUNTIF(J18:K18,"불참")</f>
        <v>6</v>
      </c>
      <c r="N18" s="49">
        <f>IF(M18=0,"",L18/M18)</f>
        <v>0.33333333333333331</v>
      </c>
    </row>
    <row r="19" spans="1:15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>
        <f>COUNTIF(E19:H19,"참석")+COUNTIF(J19:K19,"참석")</f>
        <v>3</v>
      </c>
      <c r="M19" s="47">
        <f>COUNTIF(E19:H19,"참석")+COUNTIF(E19:H19,"불참")+COUNTIF(J19:K19,"참석")+COUNTIF(J19:K19,"불참")</f>
        <v>3</v>
      </c>
      <c r="N19" s="49">
        <f>IF(M19=0,"",L19/M19)</f>
        <v>1</v>
      </c>
      <c r="O19" s="46" t="s">
        <v>239</v>
      </c>
    </row>
    <row r="20" spans="1:15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>
        <f>COUNTIF(E20:H20,"참석")+COUNTIF(J20:K20,"참석")</f>
        <v>5</v>
      </c>
      <c r="M20" s="47">
        <f>COUNTIF(E20:H20,"참석")+COUNTIF(E20:H20,"불참")+COUNTIF(J20:K20,"참석")+COUNTIF(J20:K20,"불참")</f>
        <v>6</v>
      </c>
      <c r="N20" s="49">
        <f>IF(M20=0,"",L20/M20)</f>
        <v>0.83333333333333337</v>
      </c>
    </row>
    <row r="21" spans="1:15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>
        <f>COUNTIF(E21:H21,"참석")+COUNTIF(J21:K21,"참석")</f>
        <v>5</v>
      </c>
      <c r="M21" s="47">
        <f>COUNTIF(E21:H21,"참석")+COUNTIF(E21:H21,"불참")+COUNTIF(J21:K21,"참석")+COUNTIF(J21:K21,"불참")</f>
        <v>6</v>
      </c>
      <c r="N21" s="49">
        <f>IF(M21=0,"",L21/M21)</f>
        <v>0.83333333333333337</v>
      </c>
    </row>
    <row r="22" spans="1:15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>
        <f>COUNTIF(E22:H22,"참석")+COUNTIF(J22:K22,"참석")</f>
        <v>3</v>
      </c>
      <c r="M22" s="47">
        <f>COUNTIF(E22:H22,"참석")+COUNTIF(E22:H22,"불참")+COUNTIF(J22:K22,"참석")+COUNTIF(J22:K22,"불참")</f>
        <v>6</v>
      </c>
      <c r="N22" s="49">
        <f>IF(M22=0,"",L22/M22)</f>
        <v>0.5</v>
      </c>
    </row>
    <row r="23" spans="1:15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>
        <f>COUNTIF(E23:H23,"참석")+COUNTIF(J23:K23,"참석")</f>
        <v>4</v>
      </c>
      <c r="M23" s="47">
        <f>COUNTIF(E23:H23,"참석")+COUNTIF(E23:H23,"불참")+COUNTIF(J23:K23,"참석")+COUNTIF(J23:K23,"불참")</f>
        <v>6</v>
      </c>
      <c r="N23" s="49">
        <f>IF(M23=0,"",L23/M23)</f>
        <v>0.66666666666666663</v>
      </c>
    </row>
    <row r="24" spans="1:15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>
        <f>COUNTIF(E24:H24,"참석")+COUNTIF(J24:K24,"참석")</f>
        <v>2</v>
      </c>
      <c r="M24" s="47">
        <f>COUNTIF(E24:H24,"참석")+COUNTIF(E24:H24,"불참")+COUNTIF(J24:K24,"참석")+COUNTIF(J24:K24,"불참")</f>
        <v>6</v>
      </c>
      <c r="N24" s="49">
        <f>IF(M24=0,"",L24/M24)</f>
        <v>0.33333333333333331</v>
      </c>
    </row>
    <row r="25" spans="1:15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>
        <f>COUNTIF(E25:H25,"참석")+COUNTIF(J25:K25,"참석")</f>
        <v>6</v>
      </c>
      <c r="M25" s="47">
        <f>COUNTIF(E25:H25,"참석")+COUNTIF(E25:H25,"불참")+COUNTIF(J25:K25,"참석")+COUNTIF(J25:K25,"불참")</f>
        <v>6</v>
      </c>
      <c r="N25" s="49">
        <f>IF(M25=0,"",L25/M25)</f>
        <v>1</v>
      </c>
    </row>
    <row r="26" spans="1:15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>
        <f>COUNTIF(E26:H26,"참석")+COUNTIF(J26:K26,"참석")</f>
        <v>1</v>
      </c>
      <c r="M26" s="47">
        <f>COUNTIF(E26:H26,"참석")+COUNTIF(E26:H26,"불참")+COUNTIF(J26:K26,"참석")+COUNTIF(J26:K26,"불참")</f>
        <v>6</v>
      </c>
      <c r="N26" s="49">
        <f>IF(M26=0,"",L26/M26)</f>
        <v>0.16666666666666666</v>
      </c>
    </row>
    <row r="27" spans="1:15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>
        <f>COUNTIF(E27:H27,"참석")+COUNTIF(J27:K27,"참석")</f>
        <v>5</v>
      </c>
      <c r="M27" s="47">
        <f>COUNTIF(E27:H27,"참석")+COUNTIF(E27:H27,"불참")+COUNTIF(J27:K27,"참석")+COUNTIF(J27:K27,"불참")</f>
        <v>6</v>
      </c>
      <c r="N27" s="49">
        <f>IF(M27=0,"",L27/M27)</f>
        <v>0.83333333333333337</v>
      </c>
    </row>
    <row r="28" spans="1:15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>
        <f>COUNTIF(E28:H28,"참석")+COUNTIF(J28:K28,"참석")</f>
        <v>6</v>
      </c>
      <c r="M28" s="47">
        <f>COUNTIF(E28:H28,"참석")+COUNTIF(E28:H28,"불참")+COUNTIF(J28:K28,"참석")+COUNTIF(J28:K28,"불참")</f>
        <v>6</v>
      </c>
      <c r="N28" s="49">
        <f>IF(M28=0,"",L28/M28)</f>
        <v>1</v>
      </c>
    </row>
    <row r="29" spans="1:15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>
        <f>COUNTIF(E29:H29,"참석")+COUNTIF(J29:K29,"참석")</f>
        <v>2</v>
      </c>
      <c r="M29" s="47">
        <f>COUNTIF(E29:H29,"참석")+COUNTIF(E29:H29,"불참")+COUNTIF(J29:K29,"참석")+COUNTIF(J29:K29,"불참")</f>
        <v>6</v>
      </c>
      <c r="N29" s="49">
        <f>IF(M29=0,"",L29/M29)</f>
        <v>0.33333333333333331</v>
      </c>
    </row>
    <row r="30" spans="1:15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>
        <f>COUNTIF(E30:H30,"참석")+COUNTIF(J30:K30,"참석")</f>
        <v>1</v>
      </c>
      <c r="M30" s="47">
        <f>COUNTIF(E30:H30,"참석")+COUNTIF(E30:H30,"불참")+COUNTIF(J30:K30,"참석")+COUNTIF(J30:K30,"불참")</f>
        <v>6</v>
      </c>
      <c r="N30" s="49">
        <f>IF(M30=0,"",L30/M30)</f>
        <v>0.16666666666666666</v>
      </c>
    </row>
    <row r="31" spans="1:15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N31" s="49" t="str">
        <f t="shared" ref="N2:N31" si="0">IF(M31=0,"",L31/M31)</f>
        <v/>
      </c>
    </row>
  </sheetData>
  <autoFilter ref="A1:O31" xr:uid="{C0625D6E-2678-482C-88B1-4B31BC9434B5}">
    <sortState xmlns:xlrd2="http://schemas.microsoft.com/office/spreadsheetml/2017/richdata2" ref="A2:O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2026-06-19T08:28:49Z</dcterms:modified>
</cp:coreProperties>
</file>