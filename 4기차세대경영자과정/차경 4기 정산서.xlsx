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757EDFC4-078B-4945-B66D-F93B2455052F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출석현황'!$A$1:$R$31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0" i="14" l="1"/>
  <c r="P30" i="14"/>
  <c r="O30" i="14"/>
  <c r="Q29" i="14"/>
  <c r="P29" i="14"/>
  <c r="O29" i="14"/>
  <c r="Q28" i="14"/>
  <c r="P28" i="14"/>
  <c r="O28" i="14"/>
  <c r="Q27" i="14"/>
  <c r="P27" i="14"/>
  <c r="O27" i="14"/>
  <c r="Q26" i="14"/>
  <c r="P26" i="14"/>
  <c r="O26" i="14"/>
  <c r="Q25" i="14"/>
  <c r="P25" i="14"/>
  <c r="O25" i="14"/>
  <c r="Q24" i="14"/>
  <c r="P24" i="14"/>
  <c r="O24" i="14"/>
  <c r="Q23" i="14"/>
  <c r="P23" i="14"/>
  <c r="O23" i="14"/>
  <c r="Q22" i="14"/>
  <c r="P22" i="14"/>
  <c r="O22" i="14"/>
  <c r="Q21" i="14"/>
  <c r="P21" i="14"/>
  <c r="O21" i="14"/>
  <c r="Q20" i="14"/>
  <c r="P20" i="14"/>
  <c r="O20" i="14"/>
  <c r="Q19" i="14"/>
  <c r="P19" i="14"/>
  <c r="O19" i="14"/>
  <c r="Q18" i="14"/>
  <c r="P18" i="14"/>
  <c r="O18" i="14"/>
  <c r="Q17" i="14"/>
  <c r="P17" i="14"/>
  <c r="O17" i="14"/>
  <c r="Q16" i="14"/>
  <c r="P16" i="14"/>
  <c r="O16" i="14"/>
  <c r="Q15" i="14"/>
  <c r="P15" i="14"/>
  <c r="O15" i="14"/>
  <c r="Q14" i="14"/>
  <c r="P14" i="14"/>
  <c r="O14" i="14"/>
  <c r="Q13" i="14"/>
  <c r="P13" i="14"/>
  <c r="O13" i="14"/>
  <c r="Q12" i="14"/>
  <c r="P12" i="14"/>
  <c r="O12" i="14"/>
  <c r="Q11" i="14"/>
  <c r="P11" i="14"/>
  <c r="O11" i="14"/>
  <c r="Q10" i="14"/>
  <c r="P10" i="14"/>
  <c r="O10" i="14"/>
  <c r="Q9" i="14"/>
  <c r="P9" i="14"/>
  <c r="O9" i="14"/>
  <c r="Q8" i="14"/>
  <c r="P8" i="14"/>
  <c r="O8" i="14"/>
  <c r="Q7" i="14"/>
  <c r="P7" i="14"/>
  <c r="O7" i="14"/>
  <c r="Q6" i="14"/>
  <c r="P6" i="14"/>
  <c r="O6" i="14"/>
  <c r="Q5" i="14"/>
  <c r="P5" i="14"/>
  <c r="O5" i="14"/>
  <c r="Q4" i="14"/>
  <c r="P4" i="14"/>
  <c r="O4" i="14"/>
  <c r="Q3" i="14"/>
  <c r="P3" i="14"/>
  <c r="O3" i="14"/>
  <c r="Q2" i="14"/>
  <c r="P2" i="14"/>
  <c r="O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Q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<sst xmlns="http://schemas.openxmlformats.org/spreadsheetml/2006/main" count="774" uniqueCount="322">
  <si>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</si>
  <si>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</si>
  <si>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</si>
  <si>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</si>
  <si>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</si>
  <si>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</si>
  <si>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</si>
  <si>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</si>
  <si>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</si>
  <si>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</si>
  <si>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</si>
  <si>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</si>
  <si>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</si>
  <si>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</si>
  <si>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</si>
  <si>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</si>
  <si>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</si>
  <si>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</si>
  <si>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</si>
  <si>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</si>
  <si>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</si>
  <si>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</si>
  <si>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</si>
  <si>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</si>
  <si>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</si>
  <si>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</si>
  <si>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</si>
  <si>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</si>
  <si>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</si>
  <si>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</si>
  <si>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</si>
  <si>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</si>
  <si>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</si>
  <si>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</si>
  <si>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</si>
  <si>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</si>
  <si>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</si>
  <si>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</si>
  <si>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</si>
  <si>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</si>
  <si>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</si>
  <si>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</si>
  <si>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</si>
  <si>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</si>
  <si>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</si>
  <si>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</si>
  <si>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</si>
  <si>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</si>
  <si>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</si>
  <si>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</si>
  <si>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</si>
  <si>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</si>
  <si>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</si>
  <si>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</si>
  <si>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</si>
  <si>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</si>
  <si>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</si>
  <si>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</si>
  <si>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</si>
  <si>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</si>
  <si>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</si>
  <si>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</si>
  <si>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</si>
  <si>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</si>
  <si>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</si>
  <si>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</si>
  <si>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</si>
  <si>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</si>
  <si>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</si>
  <si>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</si>
  <si>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</si>
  <si>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</si>
  <si>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</si>
  <si>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</si>
  <si>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</si>
  <si>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</si>
  <si>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</si>
  <si>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</si>
  <si>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</si>
  <si>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</si>
  <si>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</si>
  <si>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</si>
  <si>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</si>
  <si>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</si>
  <si>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</si>
  <si>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</si>
  <si>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</si>
  <si>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</si>
  <si>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</si>
  <si>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</si>
  <si>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</si>
  <si>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</si>
  <si>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</si>
  <si>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</si>
  <si>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</si>
  <si>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</si>
  <si>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</si>
  <si>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</si>
  <si>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</si>
  <si>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</si>
  <si>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</si>
  <si>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</si>
  <si>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</si>
  <si>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</si>
  <si>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</si>
  <si>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</si>
  <si>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</si>
  <si>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</si>
  <si>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</si>
  <si>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</si>
  <si>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</si>
  <si>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</si>
  <si>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</si>
  <si>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</si>
  <si>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</si>
  <si>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</si>
  <si>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</si>
  <si>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</si>
  <si>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</si>
  <si>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</si>
  <si>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</si>
  <si>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</si>
  <si>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</si>
  <si>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</si>
  <si>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</si>
  <si>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</si>
  <si>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</si>
  <si>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</si>
  <si>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</si>
  <si>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</si>
  <si>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</si>
  <si>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</si>
  <si>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</si>
  <si>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</si>
  <si>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</si>
  <si>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</si>
  <si>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</si>
  <si>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</si>
  <si>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</si>
  <si>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</si>
  <si>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</si>
  <si>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</si>
  <si>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</si>
  <si>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</si>
  <si>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</si>
  <si>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</si>
  <si>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</si>
  <si>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</si>
  <si>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</si>
  <si>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</si>
  <si>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</si>
  <si>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</si>
  <si>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</si>
  <si>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</si>
  <si>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</si>
  <si>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</si>
  <si>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</si>
  <si>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</si>
  <si>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</si>
  <si>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</si>
  <si>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</si>
  <si>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</si>
  <si>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</si>
  <si>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</si>
  <si>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</si>
  <si>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</si>
  <si>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</si>
  <si>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</si>
  <si>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</si>
  <si>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</si>
  <si>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</si>
  <si>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</si>
  <si>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</si>
  <si>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</si>
  <si>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</si>
  <si>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</si>
  <si>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</si>
  <si>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</si>
  <si>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</si>
  <si>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</si>
  <si>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</si>
  <si>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</si>
  <si>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</si>
  <si>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</si>
  <si>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</si>
  <si>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</si>
  <si>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</si>
  <si>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</si>
  <si>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</si>
  <si>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</si>
  <si>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</si>
  <si>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</si>
  <si>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</si>
  <si>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</si>
  <si>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</si>
  <si>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</si>
  <si>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</si>
  <si>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</si>
  <si>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</si>
  <si>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</si>
  <si>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</si>
  <si>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</si>
  <si>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</si>
  <si>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</si>
  <si>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</si>
  <si>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</si>
  <si>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</si>
  <si>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</si>
  <si>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</si>
  <si>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</si>
  <si>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</si>
  <si>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</si>
  <si>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</si>
  <si>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</si>
  <si>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</si>
  <si>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</si>
  <si>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</si>
  <si>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</si>
  <si>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</si>
  <si>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</si>
  <si>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</si>
  <si>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</si>
  <si>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</si>
  <si>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</si>
  <si>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</si>
  <si>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</si>
  <si>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</si>
  <si>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</si>
  <si>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</si>
  <si>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</si>
  <si>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</si>
  <si>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</si>
  <si>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</si>
  <si>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</si>
  <si>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</si>
  <si>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</si>
  <si>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</si>
  <si>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</si>
  <si>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</si>
  <si>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</si>
  <si>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</si>
  <si>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</si>
  <si>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</si>
  <si>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</si>
  <si>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</si>
  <si>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</si>
  <si>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</si>
  <si>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</si>
  <si>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</si>
  <si>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</si>
  <si>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</si>
  <si>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</si>
  <si>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</si>
  <si>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</si>
  <si>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</si>
  <si>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</si>
  <si>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</si>
  <si>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</si>
  <si>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</si>
  <si>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</si>
  <si>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</si>
  <si>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</si>
  <si>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</si>
  <si>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</si>
  <si>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</si>
  <si>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</si>
  <si>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</si>
  <si>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</si>
  <si>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</si>
  <si>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</si>
  <si>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</si>
  <si>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</si>
  <si>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</si>
  <si>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</si>
  <si>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</si>
  <si>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</si>
  <si>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</si>
  <si>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</si>
  <si>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</si>
  <si>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</si>
  <si>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</si>
  <si>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</si>
  <si>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</si>
  <si>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</si>
  <si>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</si>
  <si>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</si>
  <si>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</si>
  <si>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</si>
  <si>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</si>
  <si>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</si>
  <si>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</si>
  <si>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</si>
  <si>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</si>
  <si>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</si>
  <si>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</si>
  <si>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</si>
  <si>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</si>
  <si>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</si>
  <si>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</si>
  <si>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</si>
  <si>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</si>
  <si>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</si>
  <si>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</si>
  <si>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</si>
  <si>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</si>
  <si>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</si>
  <si>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회의실 사용료(07/02, 냉방사용료 포함)</t>
  </si>
  <si>
    <t>운영비</t>
  </si>
  <si>
    <t>이노밸리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</si>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</sst>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51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550000</v>
      </c>
      <c r="C46" s="35">
        <v>46205</v>
      </c>
      <c r="D46" s="34" t="s">
        <v>306</v>
      </c>
      <c r="E46" s="2" t="s">
        <v>307</v>
      </c>
      <c r="F46" s="34" t="s">
        <v>308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309</v>
      </c>
      <c r="E47" s="2" t="s">
        <v>293</v>
      </c>
      <c r="F47" s="34" t="s">
        <v>310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311</v>
      </c>
      <c r="E48" s="2" t="s">
        <v>296</v>
      </c>
      <c r="F48" s="34" t="s">
        <v>312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313</v>
      </c>
      <c r="E49" s="2" t="s">
        <v>303</v>
      </c>
      <c r="F49" s="34" t="s">
        <v>314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315</v>
      </c>
      <c r="E50" s="2" t="s">
        <v>300</v>
      </c>
      <c r="F50" s="34" t="s">
        <v>316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319</v>
      </c>
      <c r="E51" s="2" t="s">
        <v>320</v>
      </c>
      <c r="F51" s="34" t="s">
        <v>321</v>
      </c>
      <c r="G51" s="2" t="s">
        <v>8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R31"/>
  <sheetViews>
    <sheetView workbookViewId="0">
      <selection activeCell="M1" sqref="M1:N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4" width="16" style="46" customWidth="1"/>
    <col min="15" max="16" width="12" style="46" customWidth="1"/>
    <col min="17" max="17" width="10" style="46" customWidth="1"/>
    <col min="18" max="18" width="30" style="46" customWidth="1"/>
    <col min="19" max="16384" width="9" style="46"/>
  </cols>
  <sheetData>
    <row r="1" spans="1:18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317</v>
      </c>
      <c r="N1" s="45" t="s">
        <v>318</v>
      </c>
      <c r="O1" s="45" t="s">
        <v>156</v>
      </c>
      <c r="P1" s="45" t="s">
        <v>157</v>
      </c>
      <c r="Q1" s="45" t="s">
        <v>158</v>
      </c>
      <c r="R1" s="45" t="s">
        <v>159</v>
      </c>
    </row>
    <row r="2" spans="1:18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>
        <f t="shared" ref="O2:O30" si="0">COUNTIF(E2:H2,"참석")+COUNTIF(J2:N2,"참석")</f>
        <v>9</v>
      </c>
      <c r="P2" s="47">
        <f t="shared" ref="P2:P30" si="1">COUNTIF(E2:H2,"참석")+COUNTIF(E2:H2,"불참")+COUNTIF(J2:N2,"참석")+COUNTIF(J2:N2,"불참")</f>
        <v>9</v>
      </c>
      <c r="Q2" s="49">
        <f t="shared" ref="Q2:Q30" si="2">IF(P2=0,"",O2/P2)</f>
        <v>1</v>
      </c>
      <c r="R2" s="48"/>
    </row>
    <row r="3" spans="1:18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>
        <f t="shared" si="0"/>
        <v>9</v>
      </c>
      <c r="P3" s="47">
        <f t="shared" si="1"/>
        <v>9</v>
      </c>
      <c r="Q3" s="49">
        <f t="shared" si="2"/>
        <v>1</v>
      </c>
      <c r="R3" s="48"/>
    </row>
    <row r="4" spans="1:18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>
        <f t="shared" si="0"/>
        <v>9</v>
      </c>
      <c r="P4" s="47">
        <f t="shared" si="1"/>
        <v>9</v>
      </c>
      <c r="Q4" s="49">
        <f t="shared" si="2"/>
        <v>1</v>
      </c>
      <c r="R4" s="48"/>
    </row>
    <row r="5" spans="1:18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>
        <f t="shared" si="0"/>
        <v>9</v>
      </c>
      <c r="P5" s="47">
        <f t="shared" si="1"/>
        <v>9</v>
      </c>
      <c r="Q5" s="49">
        <f t="shared" si="2"/>
        <v>1</v>
      </c>
      <c r="R5" s="48"/>
    </row>
    <row r="6" spans="1:18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>
        <f t="shared" si="0"/>
        <v>6</v>
      </c>
      <c r="P6" s="47">
        <f t="shared" si="1"/>
        <v>9</v>
      </c>
      <c r="Q6" s="49">
        <f t="shared" si="2"/>
        <v>0.66666666666666663</v>
      </c>
      <c r="R6" s="48"/>
    </row>
    <row r="7" spans="1:18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>
        <f t="shared" si="0"/>
        <v>9</v>
      </c>
      <c r="P7" s="47">
        <f t="shared" si="1"/>
        <v>9</v>
      </c>
      <c r="Q7" s="49">
        <f t="shared" si="2"/>
        <v>1</v>
      </c>
      <c r="R7" s="48"/>
    </row>
    <row r="8" spans="1:18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>
        <f t="shared" si="0"/>
        <v>4</v>
      </c>
      <c r="P8" s="47">
        <f t="shared" si="1"/>
        <v>9</v>
      </c>
      <c r="Q8" s="49">
        <f t="shared" si="2"/>
        <v>0.44444444444444442</v>
      </c>
      <c r="R8" s="48"/>
    </row>
    <row r="9" spans="1:18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>
        <f t="shared" si="0"/>
        <v>5</v>
      </c>
      <c r="P9" s="47">
        <f t="shared" si="1"/>
        <v>7</v>
      </c>
      <c r="Q9" s="49">
        <f t="shared" si="2"/>
        <v>0.7142857142857143</v>
      </c>
      <c r="R9" s="48" t="s">
        <v>240</v>
      </c>
    </row>
    <row r="10" spans="1:18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>
        <f t="shared" si="0"/>
        <v>4</v>
      </c>
      <c r="P10" s="47">
        <f t="shared" si="1"/>
        <v>9</v>
      </c>
      <c r="Q10" s="49">
        <f t="shared" si="2"/>
        <v>0.44444444444444442</v>
      </c>
      <c r="R10" s="48"/>
    </row>
    <row r="11" spans="1:18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>
        <f t="shared" si="0"/>
        <v>3</v>
      </c>
      <c r="P11" s="47">
        <f t="shared" si="1"/>
        <v>9</v>
      </c>
      <c r="Q11" s="49">
        <f t="shared" si="2"/>
        <v>0.33333333333333331</v>
      </c>
      <c r="R11" s="48"/>
    </row>
    <row r="12" spans="1:18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>
        <f t="shared" si="0"/>
        <v>6</v>
      </c>
      <c r="P12" s="47">
        <f t="shared" si="1"/>
        <v>9</v>
      </c>
      <c r="Q12" s="49">
        <f t="shared" si="2"/>
        <v>0.66666666666666663</v>
      </c>
      <c r="R12" s="48"/>
    </row>
    <row r="13" spans="1:18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>
        <f t="shared" si="0"/>
        <v>2</v>
      </c>
      <c r="P13" s="47">
        <f t="shared" si="1"/>
        <v>9</v>
      </c>
      <c r="Q13" s="49">
        <f t="shared" si="2"/>
        <v>0.22222222222222221</v>
      </c>
      <c r="R13" s="48"/>
    </row>
    <row r="14" spans="1:18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>
        <f t="shared" si="0"/>
        <v>2</v>
      </c>
      <c r="P14" s="47">
        <f t="shared" si="1"/>
        <v>9</v>
      </c>
      <c r="Q14" s="49">
        <f t="shared" si="2"/>
        <v>0.22222222222222221</v>
      </c>
      <c r="R14" s="48"/>
    </row>
    <row r="15" spans="1:18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>
        <f t="shared" si="0"/>
        <v>7</v>
      </c>
      <c r="P15" s="47">
        <f t="shared" si="1"/>
        <v>9</v>
      </c>
      <c r="Q15" s="49">
        <f t="shared" si="2"/>
        <v>0.77777777777777779</v>
      </c>
      <c r="R15" s="48"/>
    </row>
    <row r="16" spans="1:18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>
        <f t="shared" si="0"/>
        <v>4</v>
      </c>
      <c r="P16" s="47">
        <f t="shared" si="1"/>
        <v>9</v>
      </c>
      <c r="Q16" s="49">
        <f t="shared" si="2"/>
        <v>0.44444444444444442</v>
      </c>
    </row>
    <row r="17" spans="1:18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>
        <f t="shared" si="0"/>
        <v>7</v>
      </c>
      <c r="P17" s="47">
        <f t="shared" si="1"/>
        <v>9</v>
      </c>
      <c r="Q17" s="49">
        <f t="shared" si="2"/>
        <v>0.77777777777777779</v>
      </c>
    </row>
    <row r="18" spans="1:18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173</v>
      </c>
      <c r="N18" s="47" t="s">
        <v>173</v>
      </c>
      <c r="O18" s="47">
        <f t="shared" si="0"/>
        <v>3</v>
      </c>
      <c r="P18" s="47">
        <f t="shared" si="1"/>
        <v>9</v>
      </c>
      <c r="Q18" s="49">
        <f t="shared" si="2"/>
        <v>0.33333333333333331</v>
      </c>
    </row>
    <row r="19" spans="1:18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>
        <f t="shared" si="0"/>
        <v>6</v>
      </c>
      <c r="P19" s="47">
        <f t="shared" si="1"/>
        <v>6</v>
      </c>
      <c r="Q19" s="49">
        <f t="shared" si="2"/>
        <v>1</v>
      </c>
      <c r="R19" s="46" t="s">
        <v>239</v>
      </c>
    </row>
    <row r="20" spans="1:18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>
        <f t="shared" si="0"/>
        <v>5</v>
      </c>
      <c r="P20" s="47">
        <f t="shared" si="1"/>
        <v>9</v>
      </c>
      <c r="Q20" s="49">
        <f t="shared" si="2"/>
        <v>0.55555555555555558</v>
      </c>
    </row>
    <row r="21" spans="1:18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>
        <f t="shared" si="0"/>
        <v>8</v>
      </c>
      <c r="P21" s="47">
        <f t="shared" si="1"/>
        <v>9</v>
      </c>
      <c r="Q21" s="49">
        <f t="shared" si="2"/>
        <v>0.88888888888888884</v>
      </c>
    </row>
    <row r="22" spans="1:18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>
        <f t="shared" si="0"/>
        <v>3</v>
      </c>
      <c r="P22" s="47">
        <f t="shared" si="1"/>
        <v>9</v>
      </c>
      <c r="Q22" s="49">
        <f t="shared" si="2"/>
        <v>0.33333333333333331</v>
      </c>
    </row>
    <row r="23" spans="1:18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>
        <f t="shared" si="0"/>
        <v>6</v>
      </c>
      <c r="P23" s="47">
        <f t="shared" si="1"/>
        <v>9</v>
      </c>
      <c r="Q23" s="49">
        <f t="shared" si="2"/>
        <v>0.66666666666666663</v>
      </c>
    </row>
    <row r="24" spans="1:18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>
        <f t="shared" si="0"/>
        <v>3</v>
      </c>
      <c r="P24" s="47">
        <f t="shared" si="1"/>
        <v>9</v>
      </c>
      <c r="Q24" s="49">
        <f t="shared" si="2"/>
        <v>0.33333333333333331</v>
      </c>
    </row>
    <row r="25" spans="1:18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>
        <f t="shared" si="0"/>
        <v>9</v>
      </c>
      <c r="P25" s="47">
        <f t="shared" si="1"/>
        <v>9</v>
      </c>
      <c r="Q25" s="49">
        <f t="shared" si="2"/>
        <v>1</v>
      </c>
    </row>
    <row r="26" spans="1:18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>
        <f t="shared" si="0"/>
        <v>1</v>
      </c>
      <c r="P26" s="47">
        <f t="shared" si="1"/>
        <v>9</v>
      </c>
      <c r="Q26" s="49">
        <f t="shared" si="2"/>
        <v>0.1111111111111111</v>
      </c>
    </row>
    <row r="27" spans="1:18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>
        <f t="shared" si="0"/>
        <v>7</v>
      </c>
      <c r="P27" s="47">
        <f t="shared" si="1"/>
        <v>9</v>
      </c>
      <c r="Q27" s="49">
        <f t="shared" si="2"/>
        <v>0.77777777777777779</v>
      </c>
    </row>
    <row r="28" spans="1:18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>
        <f t="shared" si="0"/>
        <v>9</v>
      </c>
      <c r="P28" s="47">
        <f t="shared" si="1"/>
        <v>9</v>
      </c>
      <c r="Q28" s="49">
        <f t="shared" si="2"/>
        <v>1</v>
      </c>
    </row>
    <row r="29" spans="1:18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>
        <f t="shared" si="0"/>
        <v>3</v>
      </c>
      <c r="P29" s="47">
        <f t="shared" si="1"/>
        <v>9</v>
      </c>
      <c r="Q29" s="49">
        <f t="shared" si="2"/>
        <v>0.33333333333333331</v>
      </c>
    </row>
    <row r="30" spans="1:18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>
        <f t="shared" si="0"/>
        <v>1</v>
      </c>
      <c r="P30" s="47">
        <f t="shared" si="1"/>
        <v>9</v>
      </c>
      <c r="Q30" s="49">
        <f t="shared" si="2"/>
        <v>0.1111111111111111</v>
      </c>
    </row>
    <row r="31" spans="1:18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Q31" s="49" t="str">
        <f t="shared" ref="Q31" si="3">IF(P31=0,"",O31/P31)</f>
        <v/>
      </c>
    </row>
  </sheetData>
  <autoFilter ref="A1:R31" xr:uid="{C0625D6E-2678-482C-88B1-4B31BC9434B5}">
    <sortState xmlns:xlrd2="http://schemas.microsoft.com/office/spreadsheetml/2017/richdata2" ref="A2:R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2026-07-06T08:24:34Z</dcterms:modified>
</cp:coreProperties>
</file>