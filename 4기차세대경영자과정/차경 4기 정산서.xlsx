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nobiz\Documents\innobiz-nextgen\4기차세대경영자과정\"/>
    </mc:Choice>
  </mc:AlternateContent>
  <xr:revisionPtr revIDLastSave="0" documentId="13_ncr:1_{29E14D24-D74E-4034-BF7B-A67A8FEDED64}" xr6:coauthVersionLast="47" xr6:coauthVersionMax="47" xr10:uidLastSave="{00000000-0000-0000-0000-000000000000}"/>
  <bookViews>
    <workbookView xWindow="28680" yWindow="-120" windowWidth="29040" windowHeight="15720" activeTab="3" xr2:uid="{404CE508-8F71-4CA4-99F0-0EFB79DB1227}"/>
  </bookViews>
  <sheets>
    <sheet name="항목별(피벗)" sheetId="9" r:id="rId1"/>
    <sheet name="실수입내역" sheetId="15" r:id="rId2"/>
    <sheet name="주차별 지출액(피벗)" sheetId="13" r:id="rId3"/>
    <sheet name="지출세부내역서" sheetId="1" r:id="rId4"/>
    <sheet name="수익배분(피벗)" sheetId="12" r:id="rId5"/>
    <sheet name="회차별 출석현황" sheetId="14" r:id="rId6"/>
  </sheets>
  <definedNames>
    <definedName name="_xlnm._FilterDatabase" localSheetId="1" hidden="1">실수입내역!$A$3:$C$46</definedName>
    <definedName name="_xlnm._FilterDatabase" localSheetId="3" hidden="1">지출세부내역서!$A$3:$G$28</definedName>
    <definedName name="_xlnm._FilterDatabase" localSheetId="5" hidden="1">'회차별 출석현황'!$A$1:$P$31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0" i="14" l="1"/>
  <c r="N30" i="14"/>
  <c r="M30" i="14"/>
  <c r="O29" i="14"/>
  <c r="N29" i="14"/>
  <c r="M29" i="14"/>
  <c r="O28" i="14"/>
  <c r="N28" i="14"/>
  <c r="M28" i="14"/>
  <c r="O27" i="14"/>
  <c r="N27" i="14"/>
  <c r="M27" i="14"/>
  <c r="O26" i="14"/>
  <c r="N26" i="14"/>
  <c r="M26" i="14"/>
  <c r="O25" i="14"/>
  <c r="N25" i="14"/>
  <c r="M25" i="14"/>
  <c r="O24" i="14"/>
  <c r="N24" i="14"/>
  <c r="M24" i="14"/>
  <c r="O23" i="14"/>
  <c r="N23" i="14"/>
  <c r="M23" i="14"/>
  <c r="O22" i="14"/>
  <c r="N22" i="14"/>
  <c r="M22" i="14"/>
  <c r="O21" i="14"/>
  <c r="N21" i="14"/>
  <c r="M21" i="14"/>
  <c r="O20" i="14"/>
  <c r="N20" i="14"/>
  <c r="M20" i="14"/>
  <c r="O19" i="14"/>
  <c r="N19" i="14"/>
  <c r="M19" i="14"/>
  <c r="O18" i="14"/>
  <c r="N18" i="14"/>
  <c r="M18" i="14"/>
  <c r="O17" i="14"/>
  <c r="N17" i="14"/>
  <c r="M17" i="14"/>
  <c r="O16" i="14"/>
  <c r="N16" i="14"/>
  <c r="M16" i="14"/>
  <c r="O15" i="14"/>
  <c r="N15" i="14"/>
  <c r="M15" i="14"/>
  <c r="O14" i="14"/>
  <c r="N14" i="14"/>
  <c r="M14" i="14"/>
  <c r="O13" i="14"/>
  <c r="N13" i="14"/>
  <c r="M13" i="14"/>
  <c r="O12" i="14"/>
  <c r="N12" i="14"/>
  <c r="M12" i="14"/>
  <c r="O11" i="14"/>
  <c r="N11" i="14"/>
  <c r="M11" i="14"/>
  <c r="O10" i="14"/>
  <c r="N10" i="14"/>
  <c r="M10" i="14"/>
  <c r="O9" i="14"/>
  <c r="N9" i="14"/>
  <c r="M9" i="14"/>
  <c r="O8" i="14"/>
  <c r="N8" i="14"/>
  <c r="M8" i="14"/>
  <c r="O7" i="14"/>
  <c r="N7" i="14"/>
  <c r="M7" i="14"/>
  <c r="O6" i="14"/>
  <c r="N6" i="14"/>
  <c r="M6" i="14"/>
  <c r="O5" i="14"/>
  <c r="N5" i="14"/>
  <c r="M5" i="14"/>
  <c r="O4" i="14"/>
  <c r="N4" i="14"/>
  <c r="M4" i="14"/>
  <c r="O3" i="14"/>
  <c r="N3" i="14"/>
  <c r="M3" i="14"/>
  <c r="O2" i="14"/>
  <c r="N2" i="14"/>
  <c r="M2" i="14"/>
  <c r="B28" i="1"/>
  <c r="A26" i="1"/>
  <c r="A27" i="1"/>
  <c r="A28" i="1"/>
  <c r="A47" i="15"/>
  <c r="A21" i="1"/>
  <c r="A22" i="1"/>
  <c r="A23" i="1"/>
  <c r="A24" i="1"/>
  <c r="A25" i="1"/>
  <c r="E8" i="13" l="1"/>
  <c r="E9" i="13"/>
  <c r="E10" i="13"/>
  <c r="E11" i="13"/>
  <c r="E12" i="13"/>
  <c r="E13" i="13"/>
  <c r="E14" i="13"/>
  <c r="E7" i="13"/>
  <c r="E6" i="13"/>
  <c r="E5" i="13"/>
  <c r="E4" i="13"/>
  <c r="O31" i="14"/>
  <c r="F31" i="14"/>
  <c r="G31" i="14"/>
  <c r="E31" i="14"/>
  <c r="A12" i="1"/>
  <c r="A13" i="1"/>
  <c r="A14" i="1"/>
  <c r="A15" i="1"/>
  <c r="A16" i="1"/>
  <c r="A7" i="1"/>
  <c r="A8" i="1"/>
  <c r="A9" i="1"/>
  <c r="A10" i="1"/>
  <c r="A11" i="1"/>
  <c r="A20" i="1"/>
  <c r="A19" i="1"/>
  <c r="A18" i="1"/>
  <c r="A17" i="1"/>
  <c r="A5" i="1"/>
  <c r="A6" i="1"/>
  <c r="A4" i="1"/>
  <c r="B6" i="13"/>
  <c r="B5" i="13"/>
  <c r="B4" i="13"/>
  <c r="B5" i="9" l="1"/>
  <c r="B38" i="9" s="1"/>
  <c r="D6" i="9"/>
  <c r="C18" i="12" l="1"/>
  <c r="B31" i="9"/>
  <c r="B15" i="13" l="1"/>
  <c r="C4" i="12"/>
  <c r="C5" i="12" s="1"/>
  <c r="E4" i="12" s="1"/>
  <c r="F4" i="12" l="1"/>
  <c r="B9" i="12"/>
  <c r="B13" i="12" l="1"/>
  <c r="D9" i="12"/>
  <c r="E13" i="12" l="1"/>
  <c r="B18" i="12"/>
  <c r="D18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Innobiz</author>
  </authors>
  <commentList>
    <comment ref="A10" authorId="0" shapeId="0" xr:uid="{2CEBAA16-1AA4-49AE-AE5F-D8FFEC94F4C2}">
      <text>
        <r>
          <rPr>
            <b/>
            <sz val="9"/>
            <color indexed="81"/>
            <rFont val="Tahoma"/>
            <family val="2"/>
          </rPr>
          <t>Innobiz: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할인으로</t>
        </r>
        <r>
          <rPr>
            <sz val="9"/>
            <color indexed="81"/>
            <rFont val="Tahoma"/>
            <family val="2"/>
          </rPr>
          <t xml:space="preserve"> 70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(5/7)
5/11 </t>
        </r>
        <r>
          <rPr>
            <sz val="9"/>
            <color indexed="81"/>
            <rFont val="돋움"/>
            <family val="3"/>
            <charset val="129"/>
          </rPr>
          <t>해외연수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환불처리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안해주기로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패널티</t>
        </r>
        <r>
          <rPr>
            <sz val="9"/>
            <color indexed="81"/>
            <rFont val="Tahoma"/>
            <family val="2"/>
          </rPr>
          <t xml:space="preserve"> 50%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75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내야함</t>
        </r>
        <r>
          <rPr>
            <sz val="9"/>
            <color indexed="81"/>
            <rFont val="Tahoma"/>
            <family val="2"/>
          </rPr>
          <t>)</t>
        </r>
      </text>
    </comment>
    <comment ref="A31" authorId="0" shapeId="0" xr:uid="{6D077337-377C-4263-A827-D3216420FC69}">
      <text>
        <r>
          <rPr>
            <sz val="11"/>
            <color theme="1"/>
            <rFont val="맑은 고딕"/>
            <family val="3"/>
            <charset val="129"/>
          </rPr>
          <t>Innobiz:
지인추천할인</t>
        </r>
      </text>
    </comment>
    <comment ref="A38" authorId="0" shapeId="0" xr:uid="{FE4C674C-DB49-46D9-A731-C89234A4BD28}">
      <text>
        <r>
          <rPr>
            <b/>
            <sz val="9"/>
            <color indexed="81"/>
            <rFont val="Tahoma"/>
            <family val="2"/>
          </rPr>
          <t>Innobiz:</t>
        </r>
        <r>
          <rPr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입금금액</t>
        </r>
        <r>
          <rPr>
            <sz val="9"/>
            <color indexed="81"/>
            <rFont val="Tahoma"/>
            <family val="2"/>
          </rPr>
          <t xml:space="preserve"> : 3,500,000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지인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추천할인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: 2,800,000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>- &gt;</t>
        </r>
        <r>
          <rPr>
            <sz val="9"/>
            <color indexed="81"/>
            <rFont val="돋움"/>
            <family val="3"/>
            <charset val="129"/>
          </rPr>
          <t>차액</t>
        </r>
        <r>
          <rPr>
            <sz val="9"/>
            <color indexed="81"/>
            <rFont val="Tahoma"/>
            <family val="2"/>
          </rPr>
          <t xml:space="preserve"> 700,000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필요했으나
</t>
        </r>
        <r>
          <rPr>
            <sz val="9"/>
            <color indexed="81"/>
            <rFont val="Tahoma"/>
            <family val="2"/>
          </rPr>
          <t xml:space="preserve">5/11 </t>
        </r>
        <r>
          <rPr>
            <sz val="9"/>
            <color indexed="81"/>
            <rFont val="돋움"/>
            <family val="3"/>
            <charset val="129"/>
          </rPr>
          <t>해외전시회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취소로
수수료</t>
        </r>
        <r>
          <rPr>
            <sz val="9"/>
            <color indexed="81"/>
            <rFont val="Tahoma"/>
            <family val="2"/>
          </rPr>
          <t xml:space="preserve"> 167,000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제외
</t>
        </r>
        <r>
          <rPr>
            <sz val="9"/>
            <color indexed="81"/>
            <rFont val="Tahoma"/>
            <family val="2"/>
          </rPr>
          <t>=&gt;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환불금액
</t>
        </r>
        <r>
          <rPr>
            <sz val="9"/>
            <color indexed="81"/>
            <rFont val="Tahoma"/>
            <family val="2"/>
          </rPr>
          <t>3,500,000-2,800,000-167,000 =533,000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세금계산서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>: 2,967,000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A45" authorId="0" shapeId="0" xr:uid="{8E5A56FB-0DF4-4EEA-A171-95E37A948AFB}">
      <text>
        <r>
          <rPr>
            <b/>
            <sz val="9"/>
            <color indexed="81"/>
            <rFont val="Tahoma"/>
            <family val="2"/>
          </rPr>
          <t>Innobiz:</t>
        </r>
        <r>
          <rPr>
            <sz val="9"/>
            <color indexed="81"/>
            <rFont val="Tahoma"/>
            <family val="2"/>
          </rPr>
          <t xml:space="preserve">
*</t>
        </r>
        <r>
          <rPr>
            <sz val="9"/>
            <color indexed="81"/>
            <rFont val="돋움"/>
            <family val="3"/>
            <charset val="129"/>
          </rPr>
          <t>상하이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해외연수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연수비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숙박비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요청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수입결의내역</t>
        </r>
        <r>
          <rPr>
            <sz val="9"/>
            <color indexed="81"/>
            <rFont val="Tahoma"/>
            <family val="2"/>
          </rPr>
          <t>: 1,090,000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연수비</t>
        </r>
        <r>
          <rPr>
            <sz val="9"/>
            <color indexed="81"/>
            <rFont val="Tahoma"/>
            <family val="2"/>
          </rPr>
          <t xml:space="preserve"> 990,000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호텔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숙박비</t>
        </r>
        <r>
          <rPr>
            <sz val="9"/>
            <color indexed="81"/>
            <rFont val="Tahoma"/>
            <family val="2"/>
          </rPr>
          <t xml:space="preserve"> 100,000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)
- </t>
        </r>
        <r>
          <rPr>
            <sz val="9"/>
            <color indexed="81"/>
            <rFont val="돋움"/>
            <family val="3"/>
            <charset val="129"/>
          </rPr>
          <t>환불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내역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위약금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적용
</t>
        </r>
        <r>
          <rPr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>: -641,920</t>
        </r>
      </text>
    </comment>
    <comment ref="A46" authorId="0" shapeId="0" xr:uid="{EEED0E7B-A97C-43AF-8350-2E9B7DD6495B}">
      <text>
        <r>
          <rPr>
            <b/>
            <sz val="9"/>
            <color indexed="81"/>
            <rFont val="Tahoma"/>
            <family val="2"/>
          </rPr>
          <t>Innobiz: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개인방신청</t>
        </r>
      </text>
    </comment>
  </commentList>
</comments>
</file>

<file path=xl/sharedStrings.xml><?xml version="1.0" encoding="utf-8"?>
<sst xmlns="http://schemas.openxmlformats.org/spreadsheetml/2006/main" count="690" uniqueCount="306">
  <si>
    <t>번호</t>
    <phoneticPr fontId="2" type="noConversion"/>
  </si>
  <si>
    <t>금액</t>
    <phoneticPr fontId="2" type="noConversion"/>
  </si>
  <si>
    <t>내역</t>
    <phoneticPr fontId="2" type="noConversion"/>
  </si>
  <si>
    <t>차수</t>
    <phoneticPr fontId="2" type="noConversion"/>
  </si>
  <si>
    <t>3주차</t>
  </si>
  <si>
    <t>1주차</t>
    <phoneticPr fontId="2" type="noConversion"/>
  </si>
  <si>
    <t>2주차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</si>
  <si>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</si>
  <si>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</si>
  <si>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</si>
  <si>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</si>
  <si>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</si>
  <si>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</si>
  <si>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</si>
  <si>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</si>
  <si>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합계</t>
    <phoneticPr fontId="2" type="noConversion"/>
  </si>
  <si>
    <t>지출</t>
    <phoneticPr fontId="2" type="noConversion"/>
  </si>
  <si>
    <t>인재의숲</t>
    <phoneticPr fontId="2" type="noConversion"/>
  </si>
  <si>
    <t>수익</t>
    <phoneticPr fontId="2" type="noConversion"/>
  </si>
  <si>
    <t>거래처</t>
    <phoneticPr fontId="2" type="noConversion"/>
  </si>
  <si>
    <t>인건비</t>
    <phoneticPr fontId="2" type="noConversion"/>
  </si>
  <si>
    <t>이노비즈협회</t>
    <phoneticPr fontId="2" type="noConversion"/>
  </si>
  <si>
    <t>강사료</t>
  </si>
  <si>
    <t>총합계</t>
  </si>
  <si>
    <t>인쇄비</t>
  </si>
  <si>
    <t>식비</t>
    <phoneticPr fontId="2" type="noConversion"/>
  </si>
  <si>
    <t>사무용품</t>
  </si>
  <si>
    <t>주차비</t>
  </si>
  <si>
    <t>인건비</t>
  </si>
  <si>
    <t>1주차</t>
  </si>
  <si>
    <t>액션런닝</t>
    <phoneticPr fontId="2" type="noConversion"/>
  </si>
  <si>
    <t>다과 및 식비</t>
  </si>
  <si>
    <t>대분류</t>
    <phoneticPr fontId="2" type="noConversion"/>
  </si>
  <si>
    <t>교육장 임대</t>
  </si>
  <si>
    <t>워크숍</t>
  </si>
  <si>
    <t>- 워크숍 레크레이션 강사</t>
    <phoneticPr fontId="2" type="noConversion"/>
  </si>
  <si>
    <t>- 11회 강사료</t>
    <phoneticPr fontId="2" type="noConversion"/>
  </si>
  <si>
    <t>- 12회 액션런닝(정주용, 장재욱)</t>
    <phoneticPr fontId="2" type="noConversion"/>
  </si>
  <si>
    <t>- 9주 교육장 임차료</t>
    <phoneticPr fontId="2" type="noConversion"/>
  </si>
  <si>
    <t>- 4회 교육장 임차료</t>
    <phoneticPr fontId="2" type="noConversion"/>
  </si>
  <si>
    <t>- 교육기간 커피, 다과 등</t>
    <phoneticPr fontId="2" type="noConversion"/>
  </si>
  <si>
    <t>- 교육 후 식비(석식, 호프)</t>
    <phoneticPr fontId="2" type="noConversion"/>
  </si>
  <si>
    <t>- 교육기간 내 사무용품</t>
    <phoneticPr fontId="2" type="noConversion"/>
  </si>
  <si>
    <t>- 커피, 다과, 물 등</t>
    <phoneticPr fontId="2" type="noConversion"/>
  </si>
  <si>
    <t>- 여행자 보럼 가입</t>
    <phoneticPr fontId="2" type="noConversion"/>
  </si>
  <si>
    <t>- 숙박, 식비, 임차료 등</t>
    <phoneticPr fontId="2" type="noConversion"/>
  </si>
  <si>
    <t>- 중식비</t>
    <phoneticPr fontId="2" type="noConversion"/>
  </si>
  <si>
    <t>- 버스 임차료</t>
    <phoneticPr fontId="2" type="noConversion"/>
  </si>
  <si>
    <t>- 월장자 입장료</t>
    <phoneticPr fontId="2" type="noConversion"/>
  </si>
  <si>
    <t>- 협회 내부 인건비</t>
    <phoneticPr fontId="2" type="noConversion"/>
  </si>
  <si>
    <t>- 강의 교재 인쇄비</t>
    <phoneticPr fontId="2" type="noConversion"/>
  </si>
  <si>
    <t>- 졸업생 제공 기념품</t>
    <phoneticPr fontId="2" type="noConversion"/>
  </si>
  <si>
    <t>- 행사장 임차비 및 식비</t>
    <phoneticPr fontId="2" type="noConversion"/>
  </si>
  <si>
    <t>- 액자 및 행사장 장식용품</t>
    <phoneticPr fontId="2" type="noConversion"/>
  </si>
  <si>
    <t>- 졸업식 영상 제작</t>
    <phoneticPr fontId="2" type="noConversion"/>
  </si>
  <si>
    <t xml:space="preserve">- 무료 세미나 주차비(4시간) </t>
    <phoneticPr fontId="2" type="noConversion"/>
  </si>
  <si>
    <t>- 10주간 주차비(종일 2회, 5시간 8회)</t>
    <phoneticPr fontId="2" type="noConversion"/>
  </si>
  <si>
    <t>구분</t>
  </si>
  <si>
    <t>세부내역</t>
    <phoneticPr fontId="2" type="noConversion"/>
  </si>
  <si>
    <t xml:space="preserve">   강사료</t>
    <phoneticPr fontId="2" type="noConversion"/>
  </si>
  <si>
    <t xml:space="preserve">   액션런닝</t>
    <phoneticPr fontId="2" type="noConversion"/>
  </si>
  <si>
    <t xml:space="preserve">   특강료</t>
    <phoneticPr fontId="2" type="noConversion"/>
  </si>
  <si>
    <t xml:space="preserve">   대관료</t>
    <phoneticPr fontId="2" type="noConversion"/>
  </si>
  <si>
    <t xml:space="preserve">   다과비</t>
    <phoneticPr fontId="2" type="noConversion"/>
  </si>
  <si>
    <t xml:space="preserve">   식비</t>
    <phoneticPr fontId="2" type="noConversion"/>
  </si>
  <si>
    <t xml:space="preserve">   사무용품</t>
    <phoneticPr fontId="2" type="noConversion"/>
  </si>
  <si>
    <t xml:space="preserve">   보험료</t>
    <phoneticPr fontId="2" type="noConversion"/>
  </si>
  <si>
    <t xml:space="preserve">   숙박</t>
    <phoneticPr fontId="2" type="noConversion"/>
  </si>
  <si>
    <t xml:space="preserve">   임차료</t>
    <phoneticPr fontId="2" type="noConversion"/>
  </si>
  <si>
    <t xml:space="preserve">   입장료</t>
    <phoneticPr fontId="2" type="noConversion"/>
  </si>
  <si>
    <t xml:space="preserve">   인건비</t>
    <phoneticPr fontId="2" type="noConversion"/>
  </si>
  <si>
    <t xml:space="preserve">   교재인쇄비</t>
    <phoneticPr fontId="2" type="noConversion"/>
  </si>
  <si>
    <t xml:space="preserve">   기념품</t>
    <phoneticPr fontId="2" type="noConversion"/>
  </si>
  <si>
    <t xml:space="preserve">   영상제작</t>
    <phoneticPr fontId="2" type="noConversion"/>
  </si>
  <si>
    <t xml:space="preserve">   현수막 등</t>
    <phoneticPr fontId="2" type="noConversion"/>
  </si>
  <si>
    <t xml:space="preserve">   주차비</t>
    <phoneticPr fontId="2" type="noConversion"/>
  </si>
  <si>
    <t xml:space="preserve">   주차비(교육전)</t>
    <phoneticPr fontId="2" type="noConversion"/>
  </si>
  <si>
    <t>졸업식</t>
    <phoneticPr fontId="2" type="noConversion"/>
  </si>
  <si>
    <t>금 액</t>
    <phoneticPr fontId="2" type="noConversion"/>
  </si>
  <si>
    <t>- 무료세미나 1~2기 강의</t>
    <phoneticPr fontId="2" type="noConversion"/>
  </si>
  <si>
    <t xml:space="preserve">   대관료(무료세미나)</t>
    <phoneticPr fontId="2" type="noConversion"/>
  </si>
  <si>
    <t xml:space="preserve">   무료세미나</t>
    <phoneticPr fontId="2" type="noConversion"/>
  </si>
  <si>
    <t>협회 실수입액</t>
    <phoneticPr fontId="2" type="noConversion"/>
  </si>
  <si>
    <t>수익분배액</t>
    <phoneticPr fontId="2" type="noConversion"/>
  </si>
  <si>
    <t>인재의숲 실 수입액</t>
    <phoneticPr fontId="2" type="noConversion"/>
  </si>
  <si>
    <t>강사비</t>
    <phoneticPr fontId="2" type="noConversion"/>
  </si>
  <si>
    <t>구분</t>
    <phoneticPr fontId="2" type="noConversion"/>
  </si>
  <si>
    <t>금액(원)</t>
    <phoneticPr fontId="2" type="noConversion"/>
  </si>
  <si>
    <t>수입</t>
    <phoneticPr fontId="2" type="noConversion"/>
  </si>
  <si>
    <t>수익분배(원)</t>
    <phoneticPr fontId="2" type="noConversion"/>
  </si>
  <si>
    <t>졸업여행</t>
    <phoneticPr fontId="2" type="noConversion"/>
  </si>
  <si>
    <t>세부내용</t>
    <phoneticPr fontId="2" type="noConversion"/>
  </si>
  <si>
    <t>참석인원</t>
    <phoneticPr fontId="2" type="noConversion"/>
  </si>
  <si>
    <t>강사 : 김용진</t>
    <phoneticPr fontId="2" type="noConversion"/>
  </si>
  <si>
    <t>강사 : 고영</t>
    <phoneticPr fontId="2" type="noConversion"/>
  </si>
  <si>
    <t>강사 : 이상진</t>
    <phoneticPr fontId="2" type="noConversion"/>
  </si>
  <si>
    <t xml:space="preserve">   우편료</t>
    <phoneticPr fontId="2" type="noConversion"/>
  </si>
  <si>
    <t>- 졸업식 현수막, 사진 제작</t>
    <phoneticPr fontId="2" type="noConversion"/>
  </si>
  <si>
    <t>- 수료증 발송료</t>
    <phoneticPr fontId="2" type="noConversion"/>
  </si>
  <si>
    <t>참석율</t>
    <phoneticPr fontId="2" type="noConversion"/>
  </si>
  <si>
    <t xml:space="preserve">   호스팅비</t>
    <phoneticPr fontId="2" type="noConversion"/>
  </si>
  <si>
    <t>- 원우수첩 호스팅비</t>
    <phoneticPr fontId="2" type="noConversion"/>
  </si>
  <si>
    <t>인재의숲 지급액</t>
    <phoneticPr fontId="2" type="noConversion"/>
  </si>
  <si>
    <t>합계</t>
    <phoneticPr fontId="2" type="noConversion"/>
  </si>
  <si>
    <t>선지출액</t>
    <phoneticPr fontId="2" type="noConversion"/>
  </si>
  <si>
    <t>제 4기 차세대 경영자 아카데미 지출액</t>
    <phoneticPr fontId="2" type="noConversion"/>
  </si>
  <si>
    <t>삼겹살, 맥주, 소주…</t>
    <phoneticPr fontId="2" type="noConversion"/>
  </si>
  <si>
    <t>북청집-삼평</t>
    <phoneticPr fontId="2" type="noConversion"/>
  </si>
  <si>
    <t>일자</t>
    <phoneticPr fontId="2" type="noConversion"/>
  </si>
  <si>
    <t>다과비</t>
    <phoneticPr fontId="2" type="noConversion"/>
  </si>
  <si>
    <t>세븐일레븐 판교이노밸리점</t>
    <phoneticPr fontId="2" type="noConversion"/>
  </si>
  <si>
    <t>다과</t>
    <phoneticPr fontId="2" type="noConversion"/>
  </si>
  <si>
    <t>음료</t>
    <phoneticPr fontId="2" type="noConversion"/>
  </si>
  <si>
    <t>삼성웰스토리 이노밸리카페</t>
    <phoneticPr fontId="2" type="noConversion"/>
  </si>
  <si>
    <t>강사 : 유일한</t>
    <phoneticPr fontId="2" type="noConversion"/>
  </si>
  <si>
    <t>강사 : 류제언</t>
    <phoneticPr fontId="2" type="noConversion"/>
  </si>
  <si>
    <t>강사 : 고영, 워크샵</t>
    <phoneticPr fontId="2" type="noConversion"/>
  </si>
  <si>
    <t>강사 : 김창원</t>
    <phoneticPr fontId="2" type="noConversion"/>
  </si>
  <si>
    <t>기업방문</t>
    <phoneticPr fontId="2" type="noConversion"/>
  </si>
  <si>
    <t>강사 : 김대식, 졸업식</t>
    <phoneticPr fontId="2" type="noConversion"/>
  </si>
  <si>
    <t>강의비</t>
    <phoneticPr fontId="2" type="noConversion"/>
  </si>
  <si>
    <t>진행비</t>
    <phoneticPr fontId="2" type="noConversion"/>
  </si>
  <si>
    <t>교재 제본, 현수막, 배너 제작비</t>
    <phoneticPr fontId="2" type="noConversion"/>
  </si>
  <si>
    <t>준비비</t>
    <phoneticPr fontId="2" type="noConversion"/>
  </si>
  <si>
    <t>홍보용 웹포스터, E-브로슈어</t>
    <phoneticPr fontId="2" type="noConversion"/>
  </si>
  <si>
    <t>진행비(유일한)</t>
    <phoneticPr fontId="2" type="noConversion"/>
  </si>
  <si>
    <t>레드우드코퍼레이션</t>
    <phoneticPr fontId="2" type="noConversion"/>
  </si>
  <si>
    <t>행일미디어 백승주</t>
    <phoneticPr fontId="2" type="noConversion"/>
  </si>
  <si>
    <t>2주차</t>
    <phoneticPr fontId="2" type="noConversion"/>
  </si>
  <si>
    <t>아이스 카페라떼 12잔, 아이스아메리카노 21잔</t>
    <phoneticPr fontId="2" type="noConversion"/>
  </si>
  <si>
    <t>우림닭갈비</t>
    <phoneticPr fontId="2" type="noConversion"/>
  </si>
  <si>
    <t>식비</t>
    <phoneticPr fontId="2" type="noConversion"/>
  </si>
  <si>
    <t>치즈닭갈비 16, 콜라 5, 볶음밥 6, 소주 6, 맥주 6, 사이다1</t>
    <phoneticPr fontId="2" type="noConversion"/>
  </si>
  <si>
    <t>따뜻한 아메리카노 1잔</t>
    <phoneticPr fontId="2" type="noConversion"/>
  </si>
  <si>
    <t>3주차</t>
    <phoneticPr fontId="2" type="noConversion"/>
  </si>
  <si>
    <t>군산오징어</t>
    <phoneticPr fontId="2" type="noConversion"/>
  </si>
  <si>
    <t>강사비(신제구)</t>
    <phoneticPr fontId="2" type="noConversion"/>
  </si>
  <si>
    <t>강의비,진행비</t>
    <phoneticPr fontId="2" type="noConversion"/>
  </si>
  <si>
    <t>2주차</t>
    <phoneticPr fontId="2" type="noConversion"/>
  </si>
  <si>
    <t>입학식, 강사: 신제구, 유일한</t>
    <phoneticPr fontId="2" type="noConversion"/>
  </si>
  <si>
    <t>과자,생수</t>
    <phoneticPr fontId="2" type="noConversion"/>
  </si>
  <si>
    <t>카페라떼 4잔, 아메리카노 5잔</t>
    <phoneticPr fontId="2" type="noConversion"/>
  </si>
  <si>
    <t>카페라떼 4잔, 아메리카노 8잔 추가 구매</t>
    <phoneticPr fontId="2" type="noConversion"/>
  </si>
  <si>
    <t>석식비</t>
    <phoneticPr fontId="2" type="noConversion"/>
  </si>
  <si>
    <t>강의비</t>
    <phoneticPr fontId="2" type="noConversion"/>
  </si>
  <si>
    <t>진행비</t>
    <phoneticPr fontId="2" type="noConversion"/>
  </si>
  <si>
    <t>강사비(류제언) *세금계산서 처리</t>
    <phoneticPr fontId="2" type="noConversion"/>
  </si>
  <si>
    <t>진행비(유일한) *세금계산서 처리</t>
    <phoneticPr fontId="2" type="noConversion"/>
  </si>
  <si>
    <t>강사비,진행비(유일한) *세금계산서 처리</t>
    <phoneticPr fontId="2" type="noConversion"/>
  </si>
  <si>
    <t>번호</t>
  </si>
  <si>
    <t>업체명</t>
  </si>
  <si>
    <t>성명</t>
  </si>
  <si>
    <t>직책</t>
  </si>
  <si>
    <t>1주(2026-05-07)</t>
  </si>
  <si>
    <t>2주(2026-05-14)</t>
  </si>
  <si>
    <t>3주(2026-05-21)</t>
  </si>
  <si>
    <t>출석횟수</t>
  </si>
  <si>
    <t>확인가능회차</t>
  </si>
  <si>
    <t>출석률</t>
  </si>
  <si>
    <t>비고</t>
  </si>
  <si>
    <t>(주)페타네트워크</t>
  </si>
  <si>
    <t>강신호</t>
  </si>
  <si>
    <t>이사</t>
  </si>
  <si>
    <t>김경목</t>
  </si>
  <si>
    <t>주식회사와이엠알티씨</t>
  </si>
  <si>
    <t>김미수</t>
  </si>
  <si>
    <t>대리</t>
  </si>
  <si>
    <t>주식회사 현성베스코</t>
  </si>
  <si>
    <t>김민석</t>
  </si>
  <si>
    <t>부장</t>
  </si>
  <si>
    <t>주식회사 쉬엔비</t>
  </si>
  <si>
    <t>김보미</t>
  </si>
  <si>
    <t>부대표</t>
  </si>
  <si>
    <t>불참</t>
  </si>
  <si>
    <t>(주)에스엠테크</t>
  </si>
  <si>
    <t>김영찬</t>
  </si>
  <si>
    <t>차장</t>
  </si>
  <si>
    <t>제이이솔루션 주식회사</t>
  </si>
  <si>
    <t>김은수</t>
  </si>
  <si>
    <t>대표</t>
  </si>
  <si>
    <t>류영수</t>
  </si>
  <si>
    <t>팀장</t>
  </si>
  <si>
    <t>(주)애드테크</t>
  </si>
  <si>
    <t>박정원</t>
  </si>
  <si>
    <t>대표이사</t>
  </si>
  <si>
    <t>(주)제이앤제이건설산업개발</t>
  </si>
  <si>
    <t>박정임</t>
  </si>
  <si>
    <t>(주)케이벨로</t>
  </si>
  <si>
    <t>백진웅</t>
  </si>
  <si>
    <t>성현석</t>
  </si>
  <si>
    <t>부사장</t>
  </si>
  <si>
    <t>아트원 주식회사</t>
  </si>
  <si>
    <t>엄현식</t>
  </si>
  <si>
    <t>주임</t>
  </si>
  <si>
    <t>삼흥산업개발</t>
  </si>
  <si>
    <t>염주승</t>
  </si>
  <si>
    <t>상무</t>
  </si>
  <si>
    <t>파르팜</t>
  </si>
  <si>
    <t>(주)투데이칩스</t>
  </si>
  <si>
    <t>김주하</t>
  </si>
  <si>
    <t>과장</t>
  </si>
  <si>
    <t>㈜지비티코리아</t>
  </si>
  <si>
    <t xml:space="preserve">	(주)넥센서</t>
  </si>
  <si>
    <t>삼도관세법인</t>
  </si>
  <si>
    <t>이기택</t>
  </si>
  <si>
    <t>주식회사 아이소브</t>
  </si>
  <si>
    <t>이병관</t>
  </si>
  <si>
    <t>국제웨딩컨벤션</t>
  </si>
  <si>
    <t>이현석</t>
  </si>
  <si>
    <t>본부장</t>
  </si>
  <si>
    <t>(주)나이스레이저</t>
  </si>
  <si>
    <t>임수예</t>
  </si>
  <si>
    <t>주식회사 저스템</t>
  </si>
  <si>
    <t>임영훈</t>
  </si>
  <si>
    <t>주식회사 신정테크</t>
  </si>
  <si>
    <t>임현창</t>
  </si>
  <si>
    <t>책임</t>
  </si>
  <si>
    <t>주식회사 콤위즈</t>
  </si>
  <si>
    <t>정은정</t>
  </si>
  <si>
    <t>(주)유진인프라코어</t>
  </si>
  <si>
    <t>주우형</t>
  </si>
  <si>
    <t>(주)시디피우정</t>
  </si>
  <si>
    <t>최얼</t>
  </si>
  <si>
    <t>(주)제우스켐</t>
  </si>
  <si>
    <t>한규호</t>
  </si>
  <si>
    <t>(주)비씨상사</t>
  </si>
  <si>
    <t>한지희</t>
  </si>
  <si>
    <t>가능성특허법률사무소</t>
  </si>
  <si>
    <t>황동석</t>
  </si>
  <si>
    <t>변리사</t>
  </si>
  <si>
    <t>황지영</t>
  </si>
  <si>
    <t>아나운서</t>
  </si>
  <si>
    <t>불참</t>
    <phoneticPr fontId="2" type="noConversion"/>
  </si>
  <si>
    <t>-</t>
    <phoneticPr fontId="2" type="noConversion"/>
  </si>
  <si>
    <t>참석</t>
  </si>
  <si>
    <t>참석</t>
    <phoneticPr fontId="2" type="noConversion"/>
  </si>
  <si>
    <t>이은솔</t>
    <phoneticPr fontId="2" type="noConversion"/>
  </si>
  <si>
    <t>-</t>
    <phoneticPr fontId="2" type="noConversion"/>
  </si>
  <si>
    <t>4주차(2026-05-28)</t>
    <phoneticPr fontId="2" type="noConversion"/>
  </si>
  <si>
    <t>5/28 4주차부터 참여</t>
    <phoneticPr fontId="2" type="noConversion"/>
  </si>
  <si>
    <t>5/21 3주차부터 참여</t>
    <phoneticPr fontId="2" type="noConversion"/>
  </si>
  <si>
    <t>수입내역</t>
    <phoneticPr fontId="2" type="noConversion"/>
  </si>
  <si>
    <t>내용</t>
    <phoneticPr fontId="2" type="noConversion"/>
  </si>
  <si>
    <t>김은수</t>
    <phoneticPr fontId="18" type="noConversion"/>
  </si>
  <si>
    <t>김주하</t>
    <phoneticPr fontId="18" type="noConversion"/>
  </si>
  <si>
    <t>이은솔</t>
  </si>
  <si>
    <t>교육비</t>
    <phoneticPr fontId="2" type="noConversion"/>
  </si>
  <si>
    <t>정호섭</t>
    <phoneticPr fontId="18" type="noConversion"/>
  </si>
  <si>
    <t>해외연수</t>
    <phoneticPr fontId="2" type="noConversion"/>
  </si>
  <si>
    <t>해외연수+단독방</t>
    <phoneticPr fontId="2" type="noConversion"/>
  </si>
  <si>
    <t>4주차</t>
    <phoneticPr fontId="2" type="noConversion"/>
  </si>
  <si>
    <t>㈜엔에스미디어</t>
    <phoneticPr fontId="2" type="noConversion"/>
  </si>
  <si>
    <t>팀장</t>
    <phoneticPr fontId="2" type="noConversion"/>
  </si>
  <si>
    <t>참석</t>
    <phoneticPr fontId="2" type="noConversion"/>
  </si>
  <si>
    <t>강사비(김용진)</t>
    <phoneticPr fontId="2" type="noConversion"/>
  </si>
  <si>
    <t>2권 교재 제본, 회원수첩</t>
    <phoneticPr fontId="2" type="noConversion"/>
  </si>
  <si>
    <t>준비비</t>
    <phoneticPr fontId="2" type="noConversion"/>
  </si>
  <si>
    <t>다과비</t>
    <phoneticPr fontId="2" type="noConversion"/>
  </si>
  <si>
    <t>생수 40개, 위생장갑 48매</t>
    <phoneticPr fontId="2" type="noConversion"/>
  </si>
  <si>
    <t>음료</t>
    <phoneticPr fontId="2" type="noConversion"/>
  </si>
  <si>
    <t>식비</t>
    <phoneticPr fontId="2" type="noConversion"/>
  </si>
  <si>
    <t>후라이드참잘하는집 수내서현점</t>
    <phoneticPr fontId="2" type="noConversion"/>
  </si>
  <si>
    <t>피자이딸리아나 분당본점</t>
    <phoneticPr fontId="2" type="noConversion"/>
  </si>
  <si>
    <t>피자 6판</t>
    <phoneticPr fontId="2" type="noConversion"/>
  </si>
  <si>
    <t>치킨 6마리(순살2세트, 뼈1세트)</t>
    <phoneticPr fontId="2" type="noConversion"/>
  </si>
  <si>
    <t>석식 음료 추가</t>
    <phoneticPr fontId="2" type="noConversion"/>
  </si>
  <si>
    <t>상하이 전시회(NEPCON,SIA) 운영 용역 선금 70%</t>
    <phoneticPr fontId="2" type="noConversion"/>
  </si>
  <si>
    <t>해외전시</t>
    <phoneticPr fontId="2" type="noConversion"/>
  </si>
  <si>
    <t>(주)인터메세항공</t>
    <phoneticPr fontId="2" type="noConversion"/>
  </si>
  <si>
    <t>강사비(고영)</t>
    <phoneticPr fontId="2" type="noConversion"/>
  </si>
  <si>
    <t>SCG</t>
    <phoneticPr fontId="2" type="noConversion"/>
  </si>
  <si>
    <t>강사비(이상진)</t>
    <phoneticPr fontId="2" type="noConversion"/>
  </si>
  <si>
    <t>이상진</t>
    <phoneticPr fontId="2" type="noConversion"/>
  </si>
  <si>
    <t>주식회사 스마트에이엘</t>
    <phoneticPr fontId="2" type="noConversion"/>
  </si>
  <si>
    <t>식비(스시가오)</t>
    <phoneticPr fontId="2" type="noConversion"/>
  </si>
  <si>
    <t>스시가오</t>
    <phoneticPr fontId="2" type="noConversion"/>
  </si>
  <si>
    <t>운영비(투썸 기프트카드)</t>
    <phoneticPr fontId="2" type="noConversion"/>
  </si>
  <si>
    <t>운영비</t>
    <phoneticPr fontId="2" type="noConversion"/>
  </si>
  <si>
    <t>투썸플레이스 판교만도점</t>
    <phoneticPr fontId="2" type="noConversion"/>
  </si>
  <si>
    <t>다과비(음료)</t>
    <phoneticPr fontId="2" type="noConversion"/>
  </si>
  <si>
    <t>5주차</t>
    <phoneticPr fontId="2" type="noConversion"/>
  </si>
  <si>
    <t>6주차</t>
    <phoneticPr fontId="2" type="noConversion"/>
  </si>
  <si>
    <t>강사비(김창원)</t>
    <phoneticPr fontId="2" type="noConversion"/>
  </si>
  <si>
    <t>김창원</t>
    <phoneticPr fontId="2" type="noConversion"/>
  </si>
  <si>
    <t>7주차</t>
    <phoneticPr fontId="2" type="noConversion"/>
  </si>
  <si>
    <t>진행비(김창원)</t>
    <phoneticPr fontId="2" type="noConversion"/>
  </si>
  <si>
    <t>식비(소호면가)</t>
    <phoneticPr fontId="2" type="noConversion"/>
  </si>
  <si>
    <t>소호면가 분당점</t>
    <phoneticPr fontId="2" type="noConversion"/>
  </si>
  <si>
    <t>5주(2026-06-03~06, 해외연수)</t>
  </si>
  <si>
    <t>6주(2026-06-11)</t>
  </si>
  <si>
    <t>7주(2026-06-18)</t>
  </si>
  <si>
    <t>참가</t>
  </si>
  <si>
    <t>강사비(고영)</t>
  </si>
  <si>
    <t>강의비</t>
  </si>
  <si>
    <t>고영</t>
  </si>
  <si>
    <t>진행비(고영)</t>
  </si>
  <si>
    <t>진행비</t>
  </si>
  <si>
    <t>교재 인쇄(3권), 회원수첩</t>
  </si>
  <si>
    <t>준비비</t>
  </si>
  <si>
    <t>(주)행일미디어</t>
  </si>
  <si>
    <t>다과비</t>
  </si>
  <si>
    <t>세븐일레븐 판교이노밸리점</t>
  </si>
  <si>
    <t>식비(끌리마)</t>
  </si>
  <si>
    <t>식비</t>
  </si>
  <si>
    <t>끌리마</t>
  </si>
  <si>
    <t>8주(2026-06-25)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</si>
</sst>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.0%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1"/>
      <name val="Carlito"/>
    </font>
    <font>
      <b/>
      <sz val="11"/>
      <color rgb="FF222222"/>
      <name val="Carlito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9" fontId="1" fillId="0" borderId="0" applyFont="0" applyFill="0" applyBorder="0" applyAlignment="0" applyProtection="0">
      <alignment vertical="center"/>
    </xf>
    <xf numFmtId="0" fontId="11" fillId="0" borderId="0"/>
    <xf numFmtId="0" fontId="11" fillId="0" borderId="0"/>
  </cellStyleXfs>
  <cellXfs count="74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41" fontId="6" fillId="0" borderId="1" xfId="1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41" fontId="7" fillId="0" borderId="1" xfId="1" applyFont="1" applyBorder="1">
      <alignment vertical="center"/>
    </xf>
    <xf numFmtId="0" fontId="7" fillId="0" borderId="1" xfId="0" quotePrefix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1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41" fontId="8" fillId="0" borderId="1" xfId="1" applyFont="1" applyBorder="1">
      <alignment vertical="center"/>
    </xf>
    <xf numFmtId="41" fontId="10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1" fontId="10" fillId="0" borderId="1" xfId="1" applyFont="1" applyBorder="1">
      <alignment vertical="center"/>
    </xf>
    <xf numFmtId="0" fontId="7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1" fontId="8" fillId="0" borderId="0" xfId="1" applyFont="1">
      <alignment vertical="center"/>
    </xf>
    <xf numFmtId="41" fontId="8" fillId="0" borderId="0" xfId="0" applyNumberFormat="1" applyFont="1">
      <alignment vertical="center"/>
    </xf>
    <xf numFmtId="9" fontId="0" fillId="0" borderId="0" xfId="0" applyNumberFormat="1">
      <alignment vertical="center"/>
    </xf>
    <xf numFmtId="41" fontId="0" fillId="0" borderId="0" xfId="0" applyNumberFormat="1">
      <alignment vertical="center"/>
    </xf>
    <xf numFmtId="9" fontId="7" fillId="0" borderId="1" xfId="4" applyFont="1" applyBorder="1">
      <alignment vertical="center"/>
    </xf>
    <xf numFmtId="9" fontId="7" fillId="0" borderId="1" xfId="0" applyNumberFormat="1" applyFont="1" applyBorder="1" applyAlignment="1">
      <alignment horizontal="center" vertical="center" wrapText="1"/>
    </xf>
    <xf numFmtId="41" fontId="8" fillId="0" borderId="0" xfId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1" applyNumberFormat="1" applyFont="1">
      <alignment vertical="center"/>
    </xf>
    <xf numFmtId="14" fontId="10" fillId="0" borderId="1" xfId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41" fontId="6" fillId="2" borderId="3" xfId="1" applyFont="1" applyFill="1" applyBorder="1" applyAlignment="1">
      <alignment horizontal="center" vertical="center"/>
    </xf>
    <xf numFmtId="14" fontId="6" fillId="2" borderId="3" xfId="1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2" fontId="10" fillId="0" borderId="1" xfId="1" applyNumberFormat="1" applyFont="1" applyBorder="1" applyAlignment="1">
      <alignment horizontal="center" vertical="center"/>
    </xf>
    <xf numFmtId="0" fontId="12" fillId="3" borderId="0" xfId="5" applyFont="1" applyFill="1" applyAlignment="1">
      <alignment horizontal="center"/>
    </xf>
    <xf numFmtId="0" fontId="11" fillId="0" borderId="0" xfId="6"/>
    <xf numFmtId="0" fontId="0" fillId="0" borderId="0" xfId="5" applyFont="1" applyAlignment="1">
      <alignment horizontal="center"/>
    </xf>
    <xf numFmtId="0" fontId="0" fillId="0" borderId="0" xfId="5" applyFont="1"/>
    <xf numFmtId="176" fontId="0" fillId="0" borderId="0" xfId="5" applyNumberFormat="1" applyFont="1" applyAlignment="1">
      <alignment horizontal="center"/>
    </xf>
    <xf numFmtId="0" fontId="11" fillId="0" borderId="0" xfId="6" applyAlignment="1">
      <alignment horizontal="center"/>
    </xf>
    <xf numFmtId="0" fontId="4" fillId="0" borderId="0" xfId="0" applyFont="1" applyAlignment="1">
      <alignment horizontal="center" vertical="center"/>
    </xf>
    <xf numFmtId="14" fontId="6" fillId="2" borderId="1" xfId="1" applyNumberFormat="1" applyFont="1" applyFill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vertical="center" shrinkToFit="1"/>
    </xf>
    <xf numFmtId="0" fontId="14" fillId="4" borderId="1" xfId="0" applyFont="1" applyFill="1" applyBorder="1">
      <alignment vertical="center"/>
    </xf>
    <xf numFmtId="42" fontId="14" fillId="0" borderId="1" xfId="1" applyNumberFormat="1" applyFont="1" applyBorder="1" applyAlignment="1">
      <alignment horizontal="center" vertical="center"/>
    </xf>
    <xf numFmtId="42" fontId="14" fillId="0" borderId="1" xfId="0" applyNumberFormat="1" applyFont="1" applyBorder="1" applyAlignment="1">
      <alignment horizontal="center" vertical="center"/>
    </xf>
    <xf numFmtId="42" fontId="14" fillId="0" borderId="0" xfId="1" applyNumberFormat="1" applyFont="1" applyBorder="1" applyAlignment="1">
      <alignment horizontal="center" vertical="center"/>
    </xf>
    <xf numFmtId="42" fontId="0" fillId="0" borderId="0" xfId="0" applyNumberFormat="1">
      <alignment vertical="center"/>
    </xf>
    <xf numFmtId="42" fontId="14" fillId="0" borderId="1" xfId="1" applyNumberFormat="1" applyFont="1" applyBorder="1" applyAlignment="1">
      <alignment horizontal="center" vertical="center" shrinkToFit="1"/>
    </xf>
    <xf numFmtId="42" fontId="14" fillId="4" borderId="1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42" fontId="7" fillId="0" borderId="7" xfId="1" applyNumberFormat="1" applyFont="1" applyFill="1" applyBorder="1" applyAlignment="1">
      <alignment horizontal="center" vertical="center"/>
    </xf>
    <xf numFmtId="14" fontId="7" fillId="0" borderId="7" xfId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2" fontId="19" fillId="5" borderId="0" xfId="0" applyNumberFormat="1" applyFont="1" applyFill="1">
      <alignment vertical="center"/>
    </xf>
    <xf numFmtId="14" fontId="7" fillId="0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2" fontId="7" fillId="0" borderId="1" xfId="1" applyNumberFormat="1" applyFont="1" applyFill="1" applyBorder="1" applyAlignment="1">
      <alignment horizontal="center" vertical="center"/>
    </xf>
    <xf numFmtId="42" fontId="0" fillId="0" borderId="0" xfId="1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7">
    <cellStyle name="Normal" xfId="5" xr:uid="{7331A55D-A81D-41F0-BA04-66F2DC07CC77}"/>
    <cellStyle name="백분율" xfId="4" builtinId="5"/>
    <cellStyle name="쉼표 [0]" xfId="1" builtinId="6"/>
    <cellStyle name="쉼표 [0] 2" xfId="2" xr:uid="{1C12559E-586C-4189-B532-44667F8E4DC4}"/>
    <cellStyle name="표준" xfId="0" builtinId="0"/>
    <cellStyle name="표준 2" xfId="3" xr:uid="{89690F3D-BEA2-434B-9533-6BCEA15B7BD3}"/>
    <cellStyle name="표준 3" xfId="6" xr:uid="{ADFC32CD-5111-4C8A-B016-B7E8D5E5536E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맑은 고딕"/>
        <family val="3"/>
        <charset val="129"/>
        <scheme val="minor"/>
      </font>
      <numFmt numFmtId="19" formatCode="yyyy/mm/dd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7A924D-4739-4466-82F0-060C7C7F369C}" name="표2" displayName="표2" ref="A3:G28" insertRowShift="1" totalsRowShown="0" headerRowDxfId="13" dataDxfId="11" headerRowBorderDxfId="12" tableBorderDxfId="10" totalsRowBorderDxfId="9">
  <autoFilter ref="A3:G28" xr:uid="{F37A924D-4739-4466-82F0-060C7C7F369C}"/>
  <tableColumns count="7">
    <tableColumn id="1" xr3:uid="{4F8A6A33-04D1-479E-861B-D3FBAB17312B}" name="번호" dataDxfId="8">
      <calculatedColumnFormula>ROW()-ROW($A$3)</calculatedColumnFormula>
    </tableColumn>
    <tableColumn id="2" xr3:uid="{4E5B67DB-07B3-460B-A826-0D305FABC976}" name="금액" dataDxfId="7" dataCellStyle="쉼표 [0]"/>
    <tableColumn id="3" xr3:uid="{E7B0A6B7-64CD-4FDF-83DA-5CF7F2853E97}" name="일자" dataDxfId="6" dataCellStyle="쉼표 [0]"/>
    <tableColumn id="4" xr3:uid="{6228C10C-B924-48E4-9CC2-C07023CA6BF0}" name="내역" dataDxfId="5"/>
    <tableColumn id="5" xr3:uid="{0C4D9457-EB43-42B2-AF5F-4AF4AEEE4A1C}" name="대분류" dataDxfId="4"/>
    <tableColumn id="6" xr3:uid="{93D6AE5C-3CCC-429F-9946-64BF3FA52CAC}" name="거래처" dataDxfId="3"/>
    <tableColumn id="7" xr3:uid="{D175CF7B-20BC-4FE0-8D61-043EF1DF6C3A}" name="차수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99D345-F0F0-4274-829B-927CF07692EB}">
  <we:reference id="wa200005502" version="1.0.0.13" store="ko-KR" storeType="OMEX"/>
  <we:alternateReferences>
    <we:reference id="wa200005502" version="1.0.0.13" store="wa200005502" storeType="OMEX"/>
  </we:alternateReferences>
  <we:properties>
    <we:property name="docId" value="&quot;WODZoLoUX-sr_tcaVYMR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841F-B39F-43EB-8393-A2735793B0BC}">
  <dimension ref="A1:D41"/>
  <sheetViews>
    <sheetView workbookViewId="0">
      <selection activeCell="B3" sqref="B3"/>
    </sheetView>
  </sheetViews>
  <sheetFormatPr defaultRowHeight="16.5"/>
  <cols>
    <col min="1" max="1" width="19" bestFit="1" customWidth="1"/>
    <col min="2" max="2" width="18" style="1" customWidth="1"/>
    <col min="3" max="3" width="37" customWidth="1"/>
    <col min="4" max="4" width="11.875" bestFit="1" customWidth="1"/>
  </cols>
  <sheetData>
    <row r="1" spans="1:4" ht="26.25">
      <c r="A1" s="72" t="s">
        <v>105</v>
      </c>
      <c r="B1" s="73"/>
      <c r="C1" s="73"/>
    </row>
    <row r="2" spans="1:4" ht="21.6" customHeight="1">
      <c r="A2" s="3" t="s">
        <v>57</v>
      </c>
      <c r="B2" s="4" t="s">
        <v>78</v>
      </c>
      <c r="C2" s="3" t="s">
        <v>58</v>
      </c>
    </row>
    <row r="3" spans="1:4" ht="21.6" customHeight="1">
      <c r="A3" s="5" t="s">
        <v>28</v>
      </c>
      <c r="B3" s="6">
        <v>10800000</v>
      </c>
      <c r="C3" s="7"/>
    </row>
    <row r="4" spans="1:4" ht="21.6" customHeight="1">
      <c r="A4" s="8" t="s">
        <v>70</v>
      </c>
      <c r="B4" s="9">
        <v>10800000</v>
      </c>
      <c r="C4" s="10" t="s">
        <v>49</v>
      </c>
    </row>
    <row r="5" spans="1:4" ht="21.6" customHeight="1">
      <c r="A5" s="5" t="s">
        <v>22</v>
      </c>
      <c r="B5" s="6">
        <f>B6+B7+B8</f>
        <v>31700000</v>
      </c>
      <c r="C5" s="7"/>
    </row>
    <row r="6" spans="1:4" ht="21.6" customHeight="1">
      <c r="A6" s="8" t="s">
        <v>59</v>
      </c>
      <c r="B6" s="9">
        <v>17250000</v>
      </c>
      <c r="C6" s="10" t="s">
        <v>36</v>
      </c>
      <c r="D6" s="29">
        <f>B6-1500000</f>
        <v>15750000</v>
      </c>
    </row>
    <row r="7" spans="1:4" ht="21.6" customHeight="1">
      <c r="A7" s="8" t="s">
        <v>60</v>
      </c>
      <c r="B7" s="9">
        <v>12000000</v>
      </c>
      <c r="C7" s="10" t="s">
        <v>37</v>
      </c>
    </row>
    <row r="8" spans="1:4" ht="21.6" customHeight="1">
      <c r="A8" s="8" t="s">
        <v>61</v>
      </c>
      <c r="B8" s="9">
        <v>2450000</v>
      </c>
      <c r="C8" s="10" t="s">
        <v>35</v>
      </c>
    </row>
    <row r="9" spans="1:4" ht="21.6" customHeight="1">
      <c r="A9" s="5" t="s">
        <v>24</v>
      </c>
      <c r="B9" s="6">
        <v>1592900</v>
      </c>
      <c r="C9" s="7"/>
    </row>
    <row r="10" spans="1:4" ht="21.6" customHeight="1">
      <c r="A10" s="8" t="s">
        <v>71</v>
      </c>
      <c r="B10" s="9">
        <v>1592900</v>
      </c>
      <c r="C10" s="10" t="s">
        <v>50</v>
      </c>
    </row>
    <row r="11" spans="1:4" ht="21.6" customHeight="1">
      <c r="A11" s="5" t="s">
        <v>31</v>
      </c>
      <c r="B11" s="6">
        <v>6794910</v>
      </c>
      <c r="C11" s="7"/>
    </row>
    <row r="12" spans="1:4" ht="21.6" customHeight="1">
      <c r="A12" s="8" t="s">
        <v>81</v>
      </c>
      <c r="B12" s="9">
        <v>365000</v>
      </c>
      <c r="C12" s="10" t="s">
        <v>79</v>
      </c>
    </row>
    <row r="13" spans="1:4" ht="21.6" customHeight="1">
      <c r="A13" s="8" t="s">
        <v>63</v>
      </c>
      <c r="B13" s="9">
        <v>956110</v>
      </c>
      <c r="C13" s="10" t="s">
        <v>40</v>
      </c>
    </row>
    <row r="14" spans="1:4" ht="21.6" customHeight="1">
      <c r="A14" s="8" t="s">
        <v>64</v>
      </c>
      <c r="B14" s="9">
        <v>5473800</v>
      </c>
      <c r="C14" s="10" t="s">
        <v>41</v>
      </c>
    </row>
    <row r="15" spans="1:4" ht="21.6" customHeight="1">
      <c r="A15" s="5" t="s">
        <v>26</v>
      </c>
      <c r="B15" s="6">
        <v>299000</v>
      </c>
      <c r="C15" s="7"/>
    </row>
    <row r="16" spans="1:4" ht="21.6" customHeight="1">
      <c r="A16" s="8" t="s">
        <v>65</v>
      </c>
      <c r="B16" s="9">
        <v>299000</v>
      </c>
      <c r="C16" s="10" t="s">
        <v>42</v>
      </c>
    </row>
    <row r="17" spans="1:3" ht="21.6" customHeight="1">
      <c r="A17" s="5" t="s">
        <v>34</v>
      </c>
      <c r="B17" s="6">
        <v>9035031</v>
      </c>
      <c r="C17" s="7"/>
    </row>
    <row r="18" spans="1:3" ht="21.6" customHeight="1">
      <c r="A18" s="8" t="s">
        <v>63</v>
      </c>
      <c r="B18" s="9">
        <v>125461</v>
      </c>
      <c r="C18" s="10" t="s">
        <v>43</v>
      </c>
    </row>
    <row r="19" spans="1:3" ht="21.6" customHeight="1">
      <c r="A19" s="8" t="s">
        <v>66</v>
      </c>
      <c r="B19" s="9">
        <v>93370</v>
      </c>
      <c r="C19" s="10" t="s">
        <v>44</v>
      </c>
    </row>
    <row r="20" spans="1:3" ht="21.6" customHeight="1">
      <c r="A20" s="8" t="s">
        <v>67</v>
      </c>
      <c r="B20" s="9">
        <v>5264200</v>
      </c>
      <c r="C20" s="10" t="s">
        <v>45</v>
      </c>
    </row>
    <row r="21" spans="1:3" ht="21.6" customHeight="1">
      <c r="A21" s="8" t="s">
        <v>64</v>
      </c>
      <c r="B21" s="9">
        <v>1543000</v>
      </c>
      <c r="C21" s="10" t="s">
        <v>46</v>
      </c>
    </row>
    <row r="22" spans="1:3" ht="21.6" customHeight="1">
      <c r="A22" s="8" t="s">
        <v>68</v>
      </c>
      <c r="B22" s="9">
        <v>2000000</v>
      </c>
      <c r="C22" s="10" t="s">
        <v>47</v>
      </c>
    </row>
    <row r="23" spans="1:3" ht="21.6" customHeight="1">
      <c r="A23" s="8" t="s">
        <v>69</v>
      </c>
      <c r="B23" s="9">
        <v>9000</v>
      </c>
      <c r="C23" s="10" t="s">
        <v>48</v>
      </c>
    </row>
    <row r="24" spans="1:3" ht="21.6" customHeight="1">
      <c r="A24" s="5" t="s">
        <v>77</v>
      </c>
      <c r="B24" s="6">
        <v>10142000</v>
      </c>
      <c r="C24" s="7"/>
    </row>
    <row r="25" spans="1:3" ht="21.6" customHeight="1">
      <c r="A25" s="8" t="s">
        <v>72</v>
      </c>
      <c r="B25" s="9">
        <v>1980000</v>
      </c>
      <c r="C25" s="10" t="s">
        <v>51</v>
      </c>
    </row>
    <row r="26" spans="1:3" ht="21.6" customHeight="1">
      <c r="A26" s="8" t="s">
        <v>65</v>
      </c>
      <c r="B26" s="9">
        <v>1025800</v>
      </c>
      <c r="C26" s="10" t="s">
        <v>53</v>
      </c>
    </row>
    <row r="27" spans="1:3" ht="21.6" customHeight="1">
      <c r="A27" s="8" t="s">
        <v>64</v>
      </c>
      <c r="B27" s="9">
        <v>5187000</v>
      </c>
      <c r="C27" s="10" t="s">
        <v>52</v>
      </c>
    </row>
    <row r="28" spans="1:3" ht="21.6" customHeight="1">
      <c r="A28" s="8" t="s">
        <v>73</v>
      </c>
      <c r="B28" s="9">
        <v>1540000</v>
      </c>
      <c r="C28" s="10" t="s">
        <v>54</v>
      </c>
    </row>
    <row r="29" spans="1:3" ht="21.6" customHeight="1">
      <c r="A29" s="8" t="s">
        <v>74</v>
      </c>
      <c r="B29" s="9">
        <v>387200</v>
      </c>
      <c r="C29" s="10" t="s">
        <v>97</v>
      </c>
    </row>
    <row r="30" spans="1:3" ht="21.6" customHeight="1">
      <c r="A30" s="8" t="s">
        <v>96</v>
      </c>
      <c r="B30" s="9">
        <v>22000</v>
      </c>
      <c r="C30" s="10" t="s">
        <v>98</v>
      </c>
    </row>
    <row r="31" spans="1:3" ht="21.6" customHeight="1">
      <c r="A31" s="5" t="s">
        <v>33</v>
      </c>
      <c r="B31" s="6">
        <f>B32+B33+B34</f>
        <v>2942100</v>
      </c>
      <c r="C31" s="7"/>
    </row>
    <row r="32" spans="1:3" ht="21.6" customHeight="1">
      <c r="A32" s="8" t="s">
        <v>62</v>
      </c>
      <c r="B32" s="9">
        <v>1850100</v>
      </c>
      <c r="C32" s="10" t="s">
        <v>38</v>
      </c>
    </row>
    <row r="33" spans="1:3" ht="21.6" customHeight="1">
      <c r="A33" s="8" t="s">
        <v>80</v>
      </c>
      <c r="B33" s="9">
        <v>960000</v>
      </c>
      <c r="C33" s="10" t="s">
        <v>39</v>
      </c>
    </row>
    <row r="34" spans="1:3" ht="21.6" customHeight="1">
      <c r="A34" s="8" t="s">
        <v>100</v>
      </c>
      <c r="B34" s="9">
        <v>132000</v>
      </c>
      <c r="C34" s="10" t="s">
        <v>101</v>
      </c>
    </row>
    <row r="35" spans="1:3" ht="21.6" customHeight="1">
      <c r="A35" s="5" t="s">
        <v>27</v>
      </c>
      <c r="B35" s="6">
        <v>2160000</v>
      </c>
      <c r="C35" s="11"/>
    </row>
    <row r="36" spans="1:3" ht="21.6" customHeight="1">
      <c r="A36" s="8" t="s">
        <v>75</v>
      </c>
      <c r="B36" s="9">
        <v>1836000</v>
      </c>
      <c r="C36" s="10" t="s">
        <v>56</v>
      </c>
    </row>
    <row r="37" spans="1:3" ht="21.6" customHeight="1">
      <c r="A37" s="8" t="s">
        <v>76</v>
      </c>
      <c r="B37" s="9">
        <v>324000</v>
      </c>
      <c r="C37" s="10" t="s">
        <v>55</v>
      </c>
    </row>
    <row r="38" spans="1:3" ht="21.6" customHeight="1">
      <c r="A38" s="5" t="s">
        <v>15</v>
      </c>
      <c r="B38" s="6">
        <f>B3+B5+B9+B11+B15+B17+B24+B31+B35</f>
        <v>75465941</v>
      </c>
      <c r="C38" s="11"/>
    </row>
    <row r="41" spans="1:3" ht="19.5">
      <c r="B41" s="6"/>
    </row>
  </sheetData>
  <mergeCells count="1">
    <mergeCell ref="A1:C1"/>
  </mergeCells>
  <phoneticPr fontId="2" type="noConversion"/>
  <pageMargins left="0.70866141732283472" right="0.70866141732283472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D127-4C4C-4F03-9DAE-BCC7C2D9E7FC}">
  <dimension ref="A1:G47"/>
  <sheetViews>
    <sheetView topLeftCell="A28" workbookViewId="0">
      <selection activeCell="A47" sqref="A47"/>
    </sheetView>
  </sheetViews>
  <sheetFormatPr defaultRowHeight="16.5"/>
  <cols>
    <col min="1" max="1" width="21.125" customWidth="1"/>
    <col min="2" max="2" width="7.125" bestFit="1" customWidth="1"/>
    <col min="3" max="3" width="16.625" bestFit="1" customWidth="1"/>
  </cols>
  <sheetData>
    <row r="1" spans="1:7" ht="26.25">
      <c r="A1" s="72" t="s">
        <v>241</v>
      </c>
      <c r="B1" s="72"/>
      <c r="C1" s="72"/>
      <c r="D1" s="72"/>
      <c r="E1" s="72"/>
      <c r="F1" s="72"/>
      <c r="G1" s="72"/>
    </row>
    <row r="2" spans="1:7" ht="11.25" customHeight="1">
      <c r="A2" s="51"/>
      <c r="B2" s="51"/>
      <c r="C2" s="51"/>
      <c r="D2" s="51"/>
      <c r="E2" s="51"/>
      <c r="F2" s="51"/>
      <c r="G2" s="51"/>
    </row>
    <row r="3" spans="1:7" ht="19.5">
      <c r="A3" s="4" t="s">
        <v>1</v>
      </c>
      <c r="B3" s="52" t="s">
        <v>2</v>
      </c>
      <c r="C3" s="3" t="s">
        <v>242</v>
      </c>
    </row>
    <row r="4" spans="1:7">
      <c r="A4" s="56">
        <v>2800000</v>
      </c>
      <c r="B4" s="53" t="s">
        <v>161</v>
      </c>
      <c r="C4" t="s">
        <v>246</v>
      </c>
    </row>
    <row r="5" spans="1:7">
      <c r="A5" s="56">
        <v>2800000</v>
      </c>
      <c r="B5" s="53" t="s">
        <v>163</v>
      </c>
      <c r="C5" t="s">
        <v>246</v>
      </c>
    </row>
    <row r="6" spans="1:7">
      <c r="A6" s="56">
        <v>2800000</v>
      </c>
      <c r="B6" s="53" t="s">
        <v>165</v>
      </c>
      <c r="C6" t="s">
        <v>246</v>
      </c>
    </row>
    <row r="7" spans="1:7">
      <c r="A7" s="56">
        <v>2800000</v>
      </c>
      <c r="B7" s="53" t="s">
        <v>168</v>
      </c>
      <c r="C7" t="s">
        <v>246</v>
      </c>
    </row>
    <row r="8" spans="1:7">
      <c r="A8" s="56">
        <v>2800000</v>
      </c>
      <c r="B8" s="53" t="s">
        <v>171</v>
      </c>
      <c r="C8" t="s">
        <v>246</v>
      </c>
    </row>
    <row r="9" spans="1:7">
      <c r="A9" s="60">
        <v>2800000</v>
      </c>
      <c r="B9" s="54" t="s">
        <v>175</v>
      </c>
      <c r="C9" t="s">
        <v>246</v>
      </c>
    </row>
    <row r="10" spans="1:7">
      <c r="A10" s="60">
        <v>2800000</v>
      </c>
      <c r="B10" s="54" t="s">
        <v>243</v>
      </c>
      <c r="C10" t="s">
        <v>246</v>
      </c>
    </row>
    <row r="11" spans="1:7">
      <c r="A11" s="61">
        <v>2800000</v>
      </c>
      <c r="B11" s="55" t="s">
        <v>244</v>
      </c>
      <c r="C11" t="s">
        <v>246</v>
      </c>
    </row>
    <row r="12" spans="1:7">
      <c r="A12" s="56">
        <v>2800000</v>
      </c>
      <c r="B12" s="53" t="s">
        <v>180</v>
      </c>
      <c r="C12" t="s">
        <v>246</v>
      </c>
    </row>
    <row r="13" spans="1:7">
      <c r="A13" s="56">
        <v>3500000</v>
      </c>
      <c r="B13" s="53" t="s">
        <v>183</v>
      </c>
      <c r="C13" t="s">
        <v>246</v>
      </c>
    </row>
    <row r="14" spans="1:7">
      <c r="A14" s="56">
        <v>2800000</v>
      </c>
      <c r="B14" s="53" t="s">
        <v>186</v>
      </c>
      <c r="C14" t="s">
        <v>246</v>
      </c>
    </row>
    <row r="15" spans="1:7">
      <c r="A15" s="56">
        <v>2800000</v>
      </c>
      <c r="B15" s="53" t="s">
        <v>188</v>
      </c>
      <c r="C15" t="s">
        <v>246</v>
      </c>
    </row>
    <row r="16" spans="1:7">
      <c r="A16" s="56">
        <v>3500000</v>
      </c>
      <c r="B16" s="53" t="s">
        <v>189</v>
      </c>
      <c r="C16" t="s">
        <v>246</v>
      </c>
    </row>
    <row r="17" spans="1:3">
      <c r="A17" s="56">
        <v>2800000</v>
      </c>
      <c r="B17" s="53" t="s">
        <v>192</v>
      </c>
      <c r="C17" t="s">
        <v>246</v>
      </c>
    </row>
    <row r="18" spans="1:3">
      <c r="A18" s="56">
        <v>3400000</v>
      </c>
      <c r="B18" s="53" t="s">
        <v>195</v>
      </c>
      <c r="C18" t="s">
        <v>246</v>
      </c>
    </row>
    <row r="19" spans="1:3">
      <c r="A19" s="56">
        <v>2800000</v>
      </c>
      <c r="B19" s="53" t="s">
        <v>204</v>
      </c>
      <c r="C19" t="s">
        <v>246</v>
      </c>
    </row>
    <row r="20" spans="1:3">
      <c r="A20" s="56">
        <v>2800000</v>
      </c>
      <c r="B20" s="53" t="s">
        <v>206</v>
      </c>
      <c r="C20" t="s">
        <v>246</v>
      </c>
    </row>
    <row r="21" spans="1:3">
      <c r="A21" s="56">
        <v>2800000</v>
      </c>
      <c r="B21" s="54" t="s">
        <v>245</v>
      </c>
      <c r="C21" t="s">
        <v>246</v>
      </c>
    </row>
    <row r="22" spans="1:3">
      <c r="A22" s="56">
        <v>2800000</v>
      </c>
      <c r="B22" s="53" t="s">
        <v>208</v>
      </c>
      <c r="C22" t="s">
        <v>246</v>
      </c>
    </row>
    <row r="23" spans="1:3">
      <c r="A23" s="56">
        <v>2800000</v>
      </c>
      <c r="B23" s="53" t="s">
        <v>211</v>
      </c>
      <c r="C23" t="s">
        <v>246</v>
      </c>
    </row>
    <row r="24" spans="1:3">
      <c r="A24" s="56">
        <v>2800000</v>
      </c>
      <c r="B24" s="53" t="s">
        <v>213</v>
      </c>
      <c r="C24" t="s">
        <v>246</v>
      </c>
    </row>
    <row r="25" spans="1:3">
      <c r="A25" s="56">
        <v>2800000</v>
      </c>
      <c r="B25" s="53" t="s">
        <v>215</v>
      </c>
      <c r="C25" t="s">
        <v>246</v>
      </c>
    </row>
    <row r="26" spans="1:3">
      <c r="A26" s="56">
        <v>2800000</v>
      </c>
      <c r="B26" s="53" t="s">
        <v>218</v>
      </c>
      <c r="C26" t="s">
        <v>246</v>
      </c>
    </row>
    <row r="27" spans="1:3">
      <c r="A27" s="56">
        <v>2800000</v>
      </c>
      <c r="B27" s="53" t="s">
        <v>220</v>
      </c>
      <c r="C27" t="s">
        <v>246</v>
      </c>
    </row>
    <row r="28" spans="1:3">
      <c r="A28" s="56">
        <v>2800000</v>
      </c>
      <c r="B28" s="53" t="s">
        <v>222</v>
      </c>
      <c r="C28" t="s">
        <v>246</v>
      </c>
    </row>
    <row r="29" spans="1:3">
      <c r="A29" s="56">
        <v>3400000</v>
      </c>
      <c r="B29" s="53" t="s">
        <v>224</v>
      </c>
      <c r="C29" t="s">
        <v>246</v>
      </c>
    </row>
    <row r="30" spans="1:3">
      <c r="A30" s="56">
        <v>2800000</v>
      </c>
      <c r="B30" s="53" t="s">
        <v>226</v>
      </c>
      <c r="C30" t="s">
        <v>246</v>
      </c>
    </row>
    <row r="31" spans="1:3">
      <c r="A31" s="56">
        <v>2800000</v>
      </c>
      <c r="B31" s="53" t="s">
        <v>228</v>
      </c>
      <c r="C31" t="s">
        <v>246</v>
      </c>
    </row>
    <row r="32" spans="1:3">
      <c r="A32" s="56">
        <v>1090000</v>
      </c>
      <c r="B32" s="53" t="s">
        <v>161</v>
      </c>
      <c r="C32" t="s">
        <v>249</v>
      </c>
    </row>
    <row r="33" spans="1:3">
      <c r="A33" s="56">
        <v>1090000</v>
      </c>
      <c r="B33" s="53" t="s">
        <v>163</v>
      </c>
      <c r="C33" t="s">
        <v>249</v>
      </c>
    </row>
    <row r="34" spans="1:3">
      <c r="A34" s="56">
        <v>990000</v>
      </c>
      <c r="B34" s="53" t="s">
        <v>165</v>
      </c>
      <c r="C34" t="s">
        <v>248</v>
      </c>
    </row>
    <row r="35" spans="1:3">
      <c r="A35" s="56">
        <v>990000</v>
      </c>
      <c r="B35" s="53" t="s">
        <v>168</v>
      </c>
      <c r="C35" t="s">
        <v>248</v>
      </c>
    </row>
    <row r="36" spans="1:3">
      <c r="A36" s="56">
        <v>990000</v>
      </c>
      <c r="B36" s="53" t="s">
        <v>171</v>
      </c>
      <c r="C36" t="s">
        <v>248</v>
      </c>
    </row>
    <row r="37" spans="1:3">
      <c r="A37" s="57">
        <v>1090000</v>
      </c>
      <c r="B37" s="54" t="s">
        <v>175</v>
      </c>
      <c r="C37" t="s">
        <v>249</v>
      </c>
    </row>
    <row r="38" spans="1:3">
      <c r="A38" s="56">
        <v>167000</v>
      </c>
      <c r="B38" s="54" t="s">
        <v>243</v>
      </c>
      <c r="C38" t="s">
        <v>248</v>
      </c>
    </row>
    <row r="39" spans="1:3">
      <c r="A39" s="56">
        <v>1090000</v>
      </c>
      <c r="B39" s="55" t="s">
        <v>244</v>
      </c>
      <c r="C39" t="s">
        <v>249</v>
      </c>
    </row>
    <row r="40" spans="1:3">
      <c r="A40" s="58">
        <v>1090000</v>
      </c>
      <c r="B40" s="53" t="s">
        <v>180</v>
      </c>
      <c r="C40" t="s">
        <v>249</v>
      </c>
    </row>
    <row r="41" spans="1:3">
      <c r="A41" s="56">
        <v>1090000</v>
      </c>
      <c r="B41" s="53" t="s">
        <v>195</v>
      </c>
      <c r="C41" t="s">
        <v>249</v>
      </c>
    </row>
    <row r="42" spans="1:3">
      <c r="A42" s="56">
        <v>1090000</v>
      </c>
      <c r="B42" s="53" t="s">
        <v>204</v>
      </c>
      <c r="C42" t="s">
        <v>249</v>
      </c>
    </row>
    <row r="43" spans="1:3">
      <c r="A43" s="56">
        <v>1090000</v>
      </c>
      <c r="B43" s="53" t="s">
        <v>218</v>
      </c>
      <c r="C43" t="s">
        <v>249</v>
      </c>
    </row>
    <row r="44" spans="1:3">
      <c r="A44" s="56">
        <v>1090000</v>
      </c>
      <c r="B44" s="53" t="s">
        <v>220</v>
      </c>
      <c r="C44" t="s">
        <v>249</v>
      </c>
    </row>
    <row r="45" spans="1:3">
      <c r="A45" s="56">
        <v>448080</v>
      </c>
      <c r="B45" s="53" t="s">
        <v>228</v>
      </c>
      <c r="C45" t="s">
        <v>248</v>
      </c>
    </row>
    <row r="46" spans="1:3">
      <c r="A46" s="59">
        <v>1600000</v>
      </c>
      <c r="B46" s="62" t="s">
        <v>247</v>
      </c>
      <c r="C46" t="s">
        <v>249</v>
      </c>
    </row>
    <row r="47" spans="1:3">
      <c r="A47" s="67">
        <f>SUM(A4:A46)</f>
        <v>95995080</v>
      </c>
    </row>
  </sheetData>
  <mergeCells count="1">
    <mergeCell ref="A1:G1"/>
  </mergeCells>
  <phoneticPr fontId="2" type="noConversion"/>
  <conditionalFormatting sqref="A9:B10">
    <cfRule type="containsText" dxfId="1" priority="2" operator="containsText" text="x">
      <formula>NOT(ISERROR(SEARCH("x",A9)))</formula>
    </cfRule>
  </conditionalFormatting>
  <conditionalFormatting sqref="B37:B38">
    <cfRule type="containsText" dxfId="0" priority="1" operator="containsText" text="x">
      <formula>NOT(ISERROR(SEARCH("x",B37)))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9F9C-270F-4347-8F58-68BB01DEF976}">
  <dimension ref="A1:E20"/>
  <sheetViews>
    <sheetView workbookViewId="0">
      <selection activeCell="D6" sqref="D6"/>
    </sheetView>
  </sheetViews>
  <sheetFormatPr defaultRowHeight="16.5"/>
  <cols>
    <col min="1" max="1" width="11.875" bestFit="1" customWidth="1"/>
    <col min="2" max="2" width="16.25" customWidth="1"/>
    <col min="3" max="3" width="33.5" customWidth="1"/>
    <col min="4" max="4" width="10.75" customWidth="1"/>
  </cols>
  <sheetData>
    <row r="1" spans="1:5" ht="26.25">
      <c r="A1" s="72" t="s">
        <v>105</v>
      </c>
      <c r="B1" s="72"/>
      <c r="C1" s="72"/>
      <c r="D1" s="72"/>
    </row>
    <row r="3" spans="1:5" s="24" customFormat="1" ht="40.5" customHeight="1">
      <c r="A3" s="4" t="s">
        <v>86</v>
      </c>
      <c r="B3" s="4" t="s">
        <v>1</v>
      </c>
      <c r="C3" s="3" t="s">
        <v>91</v>
      </c>
      <c r="D3" s="3" t="s">
        <v>92</v>
      </c>
      <c r="E3" s="3" t="s">
        <v>99</v>
      </c>
    </row>
    <row r="4" spans="1:5" s="24" customFormat="1" ht="40.5" customHeight="1">
      <c r="A4" s="21" t="s">
        <v>29</v>
      </c>
      <c r="B4" s="23">
        <f>SUM(지출세부내역서!B4:B10)</f>
        <v>6944900</v>
      </c>
      <c r="C4" s="8" t="s">
        <v>139</v>
      </c>
      <c r="D4" s="25">
        <v>19</v>
      </c>
      <c r="E4" s="30">
        <f>D4/28</f>
        <v>0.6785714285714286</v>
      </c>
    </row>
    <row r="5" spans="1:5" s="24" customFormat="1" ht="40.5" customHeight="1">
      <c r="A5" s="21" t="s">
        <v>6</v>
      </c>
      <c r="B5" s="23">
        <f>SUM(지출세부내역서!B11:B14)</f>
        <v>3411500</v>
      </c>
      <c r="C5" s="8" t="s">
        <v>114</v>
      </c>
      <c r="D5" s="25">
        <v>21</v>
      </c>
      <c r="E5" s="30">
        <f>D5/28</f>
        <v>0.75</v>
      </c>
    </row>
    <row r="6" spans="1:5" s="24" customFormat="1" ht="40.5" customHeight="1">
      <c r="A6" s="21" t="s">
        <v>4</v>
      </c>
      <c r="B6" s="23">
        <f>SUM(지출세부내역서!B15:B20)</f>
        <v>4207100</v>
      </c>
      <c r="C6" s="8" t="s">
        <v>115</v>
      </c>
      <c r="D6" s="25">
        <v>19</v>
      </c>
      <c r="E6" s="30">
        <f>D6/28</f>
        <v>0.6785714285714286</v>
      </c>
    </row>
    <row r="7" spans="1:5" s="24" customFormat="1" ht="40.5" customHeight="1">
      <c r="A7" s="21" t="s">
        <v>7</v>
      </c>
      <c r="B7" s="23"/>
      <c r="C7" s="8" t="s">
        <v>93</v>
      </c>
      <c r="D7" s="25"/>
      <c r="E7" s="30">
        <f>D7/29</f>
        <v>0</v>
      </c>
    </row>
    <row r="8" spans="1:5" s="24" customFormat="1" ht="40.5" customHeight="1">
      <c r="A8" s="21" t="s">
        <v>8</v>
      </c>
      <c r="B8" s="23"/>
      <c r="C8" s="8" t="s">
        <v>116</v>
      </c>
      <c r="D8" s="25"/>
      <c r="E8" s="30">
        <f t="shared" ref="E8:E14" si="0">D8/29</f>
        <v>0</v>
      </c>
    </row>
    <row r="9" spans="1:5" s="24" customFormat="1" ht="40.5" customHeight="1">
      <c r="A9" s="21" t="s">
        <v>9</v>
      </c>
      <c r="B9" s="23"/>
      <c r="C9" s="8" t="s">
        <v>95</v>
      </c>
      <c r="D9" s="25"/>
      <c r="E9" s="30">
        <f t="shared" si="0"/>
        <v>0</v>
      </c>
    </row>
    <row r="10" spans="1:5" s="24" customFormat="1" ht="40.5" customHeight="1">
      <c r="A10" s="21" t="s">
        <v>10</v>
      </c>
      <c r="B10" s="23"/>
      <c r="C10" s="8" t="s">
        <v>117</v>
      </c>
      <c r="D10" s="25"/>
      <c r="E10" s="30">
        <f t="shared" si="0"/>
        <v>0</v>
      </c>
    </row>
    <row r="11" spans="1:5" s="24" customFormat="1" ht="40.5" customHeight="1">
      <c r="A11" s="21" t="s">
        <v>11</v>
      </c>
      <c r="B11" s="23"/>
      <c r="C11" s="8" t="s">
        <v>94</v>
      </c>
      <c r="D11" s="25"/>
      <c r="E11" s="30">
        <f t="shared" si="0"/>
        <v>0</v>
      </c>
    </row>
    <row r="12" spans="1:5" s="24" customFormat="1" ht="40.5" customHeight="1">
      <c r="A12" s="21" t="s">
        <v>12</v>
      </c>
      <c r="B12" s="23"/>
      <c r="C12" s="8" t="s">
        <v>118</v>
      </c>
      <c r="D12" s="25"/>
      <c r="E12" s="30">
        <f t="shared" si="0"/>
        <v>0</v>
      </c>
    </row>
    <row r="13" spans="1:5" s="24" customFormat="1" ht="40.5" customHeight="1">
      <c r="A13" s="21" t="s">
        <v>13</v>
      </c>
      <c r="B13" s="23"/>
      <c r="C13" s="8" t="s">
        <v>90</v>
      </c>
      <c r="D13" s="25"/>
      <c r="E13" s="30">
        <f t="shared" si="0"/>
        <v>0</v>
      </c>
    </row>
    <row r="14" spans="1:5" s="24" customFormat="1" ht="40.5" customHeight="1">
      <c r="A14" s="21" t="s">
        <v>14</v>
      </c>
      <c r="B14" s="23"/>
      <c r="C14" s="8" t="s">
        <v>119</v>
      </c>
      <c r="D14" s="25"/>
      <c r="E14" s="30">
        <f t="shared" si="0"/>
        <v>0</v>
      </c>
    </row>
    <row r="15" spans="1:5" s="24" customFormat="1" ht="40.5" customHeight="1">
      <c r="A15" s="21" t="s">
        <v>23</v>
      </c>
      <c r="B15" s="23">
        <f>SUM(B4:B14)</f>
        <v>14563500</v>
      </c>
      <c r="C15" s="8"/>
      <c r="D15" s="25"/>
      <c r="E15" s="31"/>
    </row>
    <row r="16" spans="1:5">
      <c r="E16" s="28"/>
    </row>
    <row r="18" spans="2:2">
      <c r="B18" s="29"/>
    </row>
    <row r="20" spans="2:2">
      <c r="B20" s="29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EF70-8578-4918-8CDC-E1B4AA8967DB}">
  <dimension ref="A1:G45"/>
  <sheetViews>
    <sheetView tabSelected="1" topLeftCell="A18" zoomScaleNormal="100" workbookViewId="0">
      <selection activeCell="A29" sqref="A29:G40"/>
    </sheetView>
  </sheetViews>
  <sheetFormatPr defaultRowHeight="16.5"/>
  <cols>
    <col min="1" max="1" width="7.125" customWidth="1"/>
    <col min="2" max="2" width="16.875" style="1" bestFit="1" customWidth="1"/>
    <col min="3" max="3" width="13.125" style="35" customWidth="1"/>
    <col min="4" max="4" width="33.5" style="34" bestFit="1" customWidth="1"/>
    <col min="5" max="5" width="16" style="2" customWidth="1"/>
    <col min="6" max="6" width="16" style="34" customWidth="1"/>
    <col min="7" max="7" width="10.25" style="2" customWidth="1"/>
  </cols>
  <sheetData>
    <row r="1" spans="1:7" ht="26.25">
      <c r="A1" s="72" t="s">
        <v>105</v>
      </c>
      <c r="B1" s="72"/>
      <c r="C1" s="72"/>
      <c r="D1" s="72"/>
      <c r="E1" s="72"/>
      <c r="F1" s="72"/>
      <c r="G1" s="72"/>
    </row>
    <row r="2" spans="1:7">
      <c r="F2" s="2"/>
    </row>
    <row r="3" spans="1:7" ht="30.75" customHeight="1">
      <c r="A3" s="38" t="s">
        <v>0</v>
      </c>
      <c r="B3" s="39" t="s">
        <v>1</v>
      </c>
      <c r="C3" s="40" t="s">
        <v>108</v>
      </c>
      <c r="D3" s="41" t="s">
        <v>2</v>
      </c>
      <c r="E3" s="41" t="s">
        <v>32</v>
      </c>
      <c r="F3" s="41" t="s">
        <v>19</v>
      </c>
      <c r="G3" s="42" t="s">
        <v>3</v>
      </c>
    </row>
    <row r="4" spans="1:7" ht="30.75" customHeight="1">
      <c r="A4" s="43">
        <f>ROW()-ROW($A$3)</f>
        <v>1</v>
      </c>
      <c r="B4" s="44">
        <v>1144000</v>
      </c>
      <c r="C4" s="36">
        <v>46149</v>
      </c>
      <c r="D4" s="33" t="s">
        <v>106</v>
      </c>
      <c r="E4" s="22" t="s">
        <v>25</v>
      </c>
      <c r="F4" s="33" t="s">
        <v>107</v>
      </c>
      <c r="G4" s="22" t="s">
        <v>5</v>
      </c>
    </row>
    <row r="5" spans="1:7" ht="30.75" customHeight="1">
      <c r="A5" s="43">
        <f t="shared" ref="A5:A6" si="0">ROW()-ROW($A$3)</f>
        <v>2</v>
      </c>
      <c r="B5" s="44">
        <v>82200</v>
      </c>
      <c r="C5" s="36">
        <v>46149</v>
      </c>
      <c r="D5" s="33" t="s">
        <v>111</v>
      </c>
      <c r="E5" s="22" t="s">
        <v>109</v>
      </c>
      <c r="F5" s="33" t="s">
        <v>110</v>
      </c>
      <c r="G5" s="22" t="s">
        <v>5</v>
      </c>
    </row>
    <row r="6" spans="1:7" ht="30.75" customHeight="1">
      <c r="A6" s="43">
        <f t="shared" si="0"/>
        <v>3</v>
      </c>
      <c r="B6" s="44">
        <v>61000</v>
      </c>
      <c r="C6" s="36">
        <v>46149</v>
      </c>
      <c r="D6" s="33" t="s">
        <v>112</v>
      </c>
      <c r="E6" s="22" t="s">
        <v>109</v>
      </c>
      <c r="F6" s="33" t="s">
        <v>113</v>
      </c>
      <c r="G6" s="22" t="s">
        <v>5</v>
      </c>
    </row>
    <row r="7" spans="1:7" ht="30.75" customHeight="1">
      <c r="A7" s="43">
        <f t="shared" ref="A7:A11" si="1">ROW()-ROW($A$3)</f>
        <v>4</v>
      </c>
      <c r="B7" s="44">
        <v>1193500</v>
      </c>
      <c r="C7" s="36">
        <v>46106</v>
      </c>
      <c r="D7" s="33" t="s">
        <v>124</v>
      </c>
      <c r="E7" s="22" t="s">
        <v>123</v>
      </c>
      <c r="F7" s="33" t="s">
        <v>126</v>
      </c>
      <c r="G7" s="22" t="s">
        <v>5</v>
      </c>
    </row>
    <row r="8" spans="1:7" ht="30.75" customHeight="1">
      <c r="A8" s="43">
        <f t="shared" si="1"/>
        <v>5</v>
      </c>
      <c r="B8" s="44">
        <v>3000000</v>
      </c>
      <c r="C8" s="36">
        <v>46149</v>
      </c>
      <c r="D8" s="33" t="s">
        <v>136</v>
      </c>
      <c r="E8" s="22" t="s">
        <v>120</v>
      </c>
      <c r="F8" s="33"/>
      <c r="G8" s="22" t="s">
        <v>5</v>
      </c>
    </row>
    <row r="9" spans="1:7" ht="30.75" customHeight="1">
      <c r="A9" s="43">
        <f t="shared" si="1"/>
        <v>6</v>
      </c>
      <c r="B9" s="44">
        <v>1000000</v>
      </c>
      <c r="C9" s="36">
        <v>46149</v>
      </c>
      <c r="D9" s="33" t="s">
        <v>125</v>
      </c>
      <c r="E9" s="22" t="s">
        <v>121</v>
      </c>
      <c r="F9" s="33"/>
      <c r="G9" s="22" t="s">
        <v>5</v>
      </c>
    </row>
    <row r="10" spans="1:7" ht="30.75" customHeight="1">
      <c r="A10" s="43">
        <f t="shared" si="1"/>
        <v>7</v>
      </c>
      <c r="B10" s="44">
        <v>464200</v>
      </c>
      <c r="C10" s="36">
        <v>46141</v>
      </c>
      <c r="D10" s="37" t="s">
        <v>122</v>
      </c>
      <c r="E10" s="22" t="s">
        <v>123</v>
      </c>
      <c r="F10" s="33" t="s">
        <v>127</v>
      </c>
      <c r="G10" s="22" t="s">
        <v>5</v>
      </c>
    </row>
    <row r="11" spans="1:7" ht="30.75" customHeight="1">
      <c r="A11" s="43">
        <f t="shared" si="1"/>
        <v>8</v>
      </c>
      <c r="B11" s="44">
        <v>52500</v>
      </c>
      <c r="C11" s="36">
        <v>46156</v>
      </c>
      <c r="D11" s="37" t="s">
        <v>129</v>
      </c>
      <c r="E11" s="22" t="s">
        <v>109</v>
      </c>
      <c r="F11" s="33" t="s">
        <v>113</v>
      </c>
      <c r="G11" s="22" t="s">
        <v>128</v>
      </c>
    </row>
    <row r="12" spans="1:7" ht="30.75" customHeight="1">
      <c r="A12" s="43">
        <f t="shared" ref="A12:A16" si="2">ROW()-ROW($A$3)</f>
        <v>9</v>
      </c>
      <c r="B12" s="44">
        <v>1000</v>
      </c>
      <c r="C12" s="36">
        <v>46156</v>
      </c>
      <c r="D12" s="37" t="s">
        <v>133</v>
      </c>
      <c r="E12" s="22" t="s">
        <v>109</v>
      </c>
      <c r="F12" s="33" t="s">
        <v>113</v>
      </c>
      <c r="G12" s="22" t="s">
        <v>128</v>
      </c>
    </row>
    <row r="13" spans="1:7" ht="30.75" customHeight="1">
      <c r="A13" s="43">
        <f t="shared" si="2"/>
        <v>10</v>
      </c>
      <c r="B13" s="44">
        <v>358000</v>
      </c>
      <c r="C13" s="36">
        <v>46156</v>
      </c>
      <c r="D13" s="37" t="s">
        <v>132</v>
      </c>
      <c r="E13" s="22" t="s">
        <v>131</v>
      </c>
      <c r="F13" s="33" t="s">
        <v>130</v>
      </c>
      <c r="G13" s="22" t="s">
        <v>128</v>
      </c>
    </row>
    <row r="14" spans="1:7" ht="30.75" customHeight="1">
      <c r="A14" s="43">
        <f t="shared" si="2"/>
        <v>11</v>
      </c>
      <c r="B14" s="44">
        <v>3000000</v>
      </c>
      <c r="C14" s="36">
        <v>46156</v>
      </c>
      <c r="D14" s="37" t="s">
        <v>148</v>
      </c>
      <c r="E14" s="22" t="s">
        <v>137</v>
      </c>
      <c r="F14" s="33"/>
      <c r="G14" s="22" t="s">
        <v>138</v>
      </c>
    </row>
    <row r="15" spans="1:7" ht="30.75" customHeight="1">
      <c r="A15" s="43">
        <f t="shared" si="2"/>
        <v>12</v>
      </c>
      <c r="B15" s="44">
        <v>14500</v>
      </c>
      <c r="C15" s="36">
        <v>46163</v>
      </c>
      <c r="D15" s="37" t="s">
        <v>141</v>
      </c>
      <c r="E15" s="22" t="s">
        <v>109</v>
      </c>
      <c r="F15" s="33" t="s">
        <v>113</v>
      </c>
      <c r="G15" s="22" t="s">
        <v>134</v>
      </c>
    </row>
    <row r="16" spans="1:7" ht="30.75" customHeight="1">
      <c r="A16" s="43">
        <f t="shared" si="2"/>
        <v>13</v>
      </c>
      <c r="B16" s="44">
        <v>24000</v>
      </c>
      <c r="C16" s="36">
        <v>46163</v>
      </c>
      <c r="D16" s="37" t="s">
        <v>142</v>
      </c>
      <c r="E16" s="22" t="s">
        <v>109</v>
      </c>
      <c r="F16" s="33" t="s">
        <v>113</v>
      </c>
      <c r="G16" s="22" t="s">
        <v>134</v>
      </c>
    </row>
    <row r="17" spans="1:7" ht="30.75" customHeight="1">
      <c r="A17" s="43">
        <f>ROW()-ROW($A$3)</f>
        <v>14</v>
      </c>
      <c r="B17" s="44">
        <v>25600</v>
      </c>
      <c r="C17" s="36">
        <v>46163</v>
      </c>
      <c r="D17" s="37" t="s">
        <v>140</v>
      </c>
      <c r="E17" s="22" t="s">
        <v>109</v>
      </c>
      <c r="F17" s="33" t="s">
        <v>110</v>
      </c>
      <c r="G17" s="22" t="s">
        <v>134</v>
      </c>
    </row>
    <row r="18" spans="1:7" ht="30.75" customHeight="1">
      <c r="A18" s="43">
        <f>ROW()-ROW($A$3)</f>
        <v>15</v>
      </c>
      <c r="B18" s="44">
        <v>393000</v>
      </c>
      <c r="C18" s="36">
        <v>46163</v>
      </c>
      <c r="D18" s="37" t="s">
        <v>143</v>
      </c>
      <c r="E18" s="22" t="s">
        <v>25</v>
      </c>
      <c r="F18" s="33" t="s">
        <v>135</v>
      </c>
      <c r="G18" s="22" t="s">
        <v>134</v>
      </c>
    </row>
    <row r="19" spans="1:7" ht="30.75" customHeight="1">
      <c r="A19" s="43">
        <f>ROW()-ROW($A$3)</f>
        <v>16</v>
      </c>
      <c r="B19" s="44">
        <v>2750000</v>
      </c>
      <c r="C19" s="36">
        <v>46163</v>
      </c>
      <c r="D19" s="37" t="s">
        <v>146</v>
      </c>
      <c r="E19" s="22" t="s">
        <v>144</v>
      </c>
      <c r="F19" s="33"/>
      <c r="G19" s="22" t="s">
        <v>134</v>
      </c>
    </row>
    <row r="20" spans="1:7" ht="30.75" customHeight="1">
      <c r="A20" s="43">
        <f>ROW()-ROW($A$3)</f>
        <v>17</v>
      </c>
      <c r="B20" s="44">
        <v>1000000</v>
      </c>
      <c r="C20" s="36">
        <v>46163</v>
      </c>
      <c r="D20" s="37" t="s">
        <v>147</v>
      </c>
      <c r="E20" s="22" t="s">
        <v>145</v>
      </c>
      <c r="F20" s="33"/>
      <c r="G20" s="22" t="s">
        <v>134</v>
      </c>
    </row>
    <row r="21" spans="1:7" ht="30.75" customHeight="1">
      <c r="A21" s="43">
        <f t="shared" ref="A21:A25" si="3">ROW()-ROW($A$3)</f>
        <v>18</v>
      </c>
      <c r="B21" s="63">
        <v>1000000</v>
      </c>
      <c r="C21" s="64">
        <v>46170</v>
      </c>
      <c r="D21" s="37" t="s">
        <v>147</v>
      </c>
      <c r="E21" s="22" t="s">
        <v>121</v>
      </c>
      <c r="F21" s="65"/>
      <c r="G21" s="66" t="s">
        <v>250</v>
      </c>
    </row>
    <row r="22" spans="1:7" ht="30.75" customHeight="1">
      <c r="A22" s="43">
        <f t="shared" si="3"/>
        <v>19</v>
      </c>
      <c r="B22" s="63">
        <v>2000000</v>
      </c>
      <c r="C22" s="64">
        <v>46170</v>
      </c>
      <c r="D22" s="65" t="s">
        <v>254</v>
      </c>
      <c r="E22" s="22" t="s">
        <v>120</v>
      </c>
      <c r="F22" s="65"/>
      <c r="G22" s="66" t="s">
        <v>250</v>
      </c>
    </row>
    <row r="23" spans="1:7" ht="30.75" customHeight="1">
      <c r="A23" s="43">
        <f t="shared" si="3"/>
        <v>20</v>
      </c>
      <c r="B23" s="63">
        <v>380600</v>
      </c>
      <c r="C23" s="64">
        <v>46170</v>
      </c>
      <c r="D23" s="65" t="s">
        <v>255</v>
      </c>
      <c r="E23" s="65" t="s">
        <v>256</v>
      </c>
      <c r="F23" s="65" t="s">
        <v>127</v>
      </c>
      <c r="G23" s="66" t="s">
        <v>250</v>
      </c>
    </row>
    <row r="24" spans="1:7" ht="30.75" customHeight="1">
      <c r="A24" s="43">
        <f t="shared" si="3"/>
        <v>21</v>
      </c>
      <c r="B24" s="63">
        <v>22200</v>
      </c>
      <c r="C24" s="64">
        <v>46170</v>
      </c>
      <c r="D24" s="65" t="s">
        <v>258</v>
      </c>
      <c r="E24" s="65" t="s">
        <v>257</v>
      </c>
      <c r="F24" s="65" t="s">
        <v>110</v>
      </c>
      <c r="G24" s="66" t="s">
        <v>250</v>
      </c>
    </row>
    <row r="25" spans="1:7" ht="30.75" customHeight="1">
      <c r="A25" s="43">
        <f t="shared" si="3"/>
        <v>22</v>
      </c>
      <c r="B25" s="63">
        <v>37000</v>
      </c>
      <c r="C25" s="64">
        <v>46170</v>
      </c>
      <c r="D25" s="65" t="s">
        <v>259</v>
      </c>
      <c r="E25" s="65" t="s">
        <v>257</v>
      </c>
      <c r="F25" s="65" t="s">
        <v>113</v>
      </c>
      <c r="G25" s="66" t="s">
        <v>250</v>
      </c>
    </row>
    <row r="26" spans="1:7" ht="30.75" customHeight="1">
      <c r="A26" s="43">
        <f>ROW()-ROW($A$3)</f>
        <v>23</v>
      </c>
      <c r="B26" s="70">
        <v>105000</v>
      </c>
      <c r="C26" s="68">
        <v>46170</v>
      </c>
      <c r="D26" s="69" t="s">
        <v>264</v>
      </c>
      <c r="E26" s="69" t="s">
        <v>260</v>
      </c>
      <c r="F26" s="69" t="s">
        <v>261</v>
      </c>
      <c r="G26" s="69" t="s">
        <v>250</v>
      </c>
    </row>
    <row r="27" spans="1:7" ht="30.75" customHeight="1">
      <c r="A27" s="43">
        <f>ROW()-ROW($A$3)</f>
        <v>24</v>
      </c>
      <c r="B27" s="70">
        <v>175100</v>
      </c>
      <c r="C27" s="68">
        <v>46170</v>
      </c>
      <c r="D27" s="69" t="s">
        <v>263</v>
      </c>
      <c r="E27" s="69" t="s">
        <v>260</v>
      </c>
      <c r="F27" s="69" t="s">
        <v>262</v>
      </c>
      <c r="G27" s="69" t="s">
        <v>250</v>
      </c>
    </row>
    <row r="28" spans="1:7" ht="30.75" customHeight="1">
      <c r="A28" s="43">
        <f>ROW()-ROW($A$3)</f>
        <v>25</v>
      </c>
      <c r="B28" s="70">
        <f>64600</f>
        <v>64600</v>
      </c>
      <c r="C28" s="68">
        <v>46170</v>
      </c>
      <c r="D28" s="69" t="s">
        <v>265</v>
      </c>
      <c r="E28" s="69" t="s">
        <v>260</v>
      </c>
      <c r="F28" s="69" t="s">
        <v>110</v>
      </c>
      <c r="G28" s="69" t="s">
        <v>250</v>
      </c>
    </row>
    <row r="29" spans="1:7" ht="19.5">
      <c r="A29" s="43">
        <v>26</v>
      </c>
      <c r="B29" s="70">
        <v>14266000</v>
      </c>
      <c r="C29" s="68">
        <v>46175</v>
      </c>
      <c r="D29" s="69" t="s">
        <v>266</v>
      </c>
      <c r="E29" s="69" t="s">
        <v>267</v>
      </c>
      <c r="F29" s="69" t="s">
        <v>268</v>
      </c>
      <c r="G29" s="69" t="s">
        <v>280</v>
      </c>
    </row>
    <row r="30" spans="1:7" ht="19.5">
      <c r="A30" s="43">
        <v>27</v>
      </c>
      <c r="B30" s="70">
        <v>1500000</v>
      </c>
      <c r="C30" s="68">
        <v>46176</v>
      </c>
      <c r="D30" s="69" t="s">
        <v>269</v>
      </c>
      <c r="E30" s="69" t="s">
        <v>120</v>
      </c>
      <c r="F30" s="69" t="s">
        <v>270</v>
      </c>
      <c r="G30" s="69" t="s">
        <v>280</v>
      </c>
    </row>
    <row r="31" spans="1:7" ht="19.5">
      <c r="A31" s="43">
        <v>28</v>
      </c>
      <c r="B31" s="70">
        <v>1000000</v>
      </c>
      <c r="C31" s="68">
        <v>46184</v>
      </c>
      <c r="D31" s="69" t="s">
        <v>271</v>
      </c>
      <c r="E31" s="69" t="s">
        <v>120</v>
      </c>
      <c r="F31" s="69" t="s">
        <v>272</v>
      </c>
      <c r="G31" s="69" t="s">
        <v>281</v>
      </c>
    </row>
    <row r="32" spans="1:7" ht="19.5">
      <c r="A32" s="43">
        <v>29</v>
      </c>
      <c r="B32" s="70">
        <v>1000000</v>
      </c>
      <c r="C32" s="68">
        <v>46184</v>
      </c>
      <c r="D32" s="69" t="s">
        <v>147</v>
      </c>
      <c r="E32" s="69" t="s">
        <v>121</v>
      </c>
      <c r="F32" s="69" t="s">
        <v>273</v>
      </c>
      <c r="G32" s="69" t="s">
        <v>281</v>
      </c>
    </row>
    <row r="33" spans="1:7" ht="19.5">
      <c r="A33" s="43">
        <v>30</v>
      </c>
      <c r="B33" s="70">
        <v>670000</v>
      </c>
      <c r="C33" s="68">
        <v>46184</v>
      </c>
      <c r="D33" s="69" t="s">
        <v>274</v>
      </c>
      <c r="E33" s="69" t="s">
        <v>25</v>
      </c>
      <c r="F33" s="69" t="s">
        <v>275</v>
      </c>
      <c r="G33" s="69" t="s">
        <v>281</v>
      </c>
    </row>
    <row r="34" spans="1:7" ht="19.5">
      <c r="A34" s="43">
        <v>31</v>
      </c>
      <c r="B34" s="70">
        <v>70000</v>
      </c>
      <c r="C34" s="68">
        <v>46184</v>
      </c>
      <c r="D34" s="69" t="s">
        <v>276</v>
      </c>
      <c r="E34" s="69" t="s">
        <v>277</v>
      </c>
      <c r="F34" s="69" t="s">
        <v>278</v>
      </c>
      <c r="G34" s="69" t="s">
        <v>281</v>
      </c>
    </row>
    <row r="35" spans="1:7" ht="19.5">
      <c r="A35" s="43">
        <v>32</v>
      </c>
      <c r="B35" s="70">
        <v>50200</v>
      </c>
      <c r="C35" s="68">
        <v>46184</v>
      </c>
      <c r="D35" s="69" t="s">
        <v>109</v>
      </c>
      <c r="E35" s="69" t="s">
        <v>109</v>
      </c>
      <c r="F35" s="69" t="s">
        <v>110</v>
      </c>
      <c r="G35" s="69" t="s">
        <v>281</v>
      </c>
    </row>
    <row r="36" spans="1:7" ht="19.5">
      <c r="A36" s="43">
        <v>33</v>
      </c>
      <c r="B36" s="70">
        <v>29700</v>
      </c>
      <c r="C36" s="68">
        <v>46184</v>
      </c>
      <c r="D36" s="69" t="s">
        <v>279</v>
      </c>
      <c r="E36" s="69" t="s">
        <v>109</v>
      </c>
      <c r="F36" s="69" t="s">
        <v>113</v>
      </c>
      <c r="G36" s="69" t="s">
        <v>281</v>
      </c>
    </row>
    <row r="37" spans="1:7" ht="19.5">
      <c r="A37" s="43">
        <v>34</v>
      </c>
      <c r="B37" s="70">
        <v>1000000</v>
      </c>
      <c r="C37" s="68">
        <v>46191</v>
      </c>
      <c r="D37" s="69" t="s">
        <v>282</v>
      </c>
      <c r="E37" s="69" t="s">
        <v>120</v>
      </c>
      <c r="F37" s="69" t="s">
        <v>283</v>
      </c>
      <c r="G37" s="69" t="s">
        <v>284</v>
      </c>
    </row>
    <row r="38" spans="1:7" ht="19.5">
      <c r="A38" s="43">
        <v>35</v>
      </c>
      <c r="B38" s="70">
        <v>500000</v>
      </c>
      <c r="C38" s="68">
        <v>46191</v>
      </c>
      <c r="D38" s="69" t="s">
        <v>285</v>
      </c>
      <c r="E38" s="69" t="s">
        <v>121</v>
      </c>
      <c r="F38" s="69" t="s">
        <v>283</v>
      </c>
      <c r="G38" s="69" t="s">
        <v>284</v>
      </c>
    </row>
    <row r="39" spans="1:7" ht="19.5">
      <c r="A39" s="43">
        <v>36</v>
      </c>
      <c r="B39" s="70">
        <v>395000</v>
      </c>
      <c r="C39" s="68">
        <v>46191</v>
      </c>
      <c r="D39" s="69" t="s">
        <v>286</v>
      </c>
      <c r="E39" s="69" t="s">
        <v>25</v>
      </c>
      <c r="F39" s="69" t="s">
        <v>287</v>
      </c>
      <c r="G39" s="69" t="s">
        <v>284</v>
      </c>
    </row>
    <row r="40" spans="1:7" ht="19.5">
      <c r="A40" s="43">
        <v>37</v>
      </c>
      <c r="B40" s="70">
        <v>78100</v>
      </c>
      <c r="C40" s="68">
        <v>46191</v>
      </c>
      <c r="D40" s="69" t="s">
        <v>109</v>
      </c>
      <c r="E40" s="69" t="s">
        <v>109</v>
      </c>
      <c r="F40" s="69" t="s">
        <v>110</v>
      </c>
      <c r="G40" s="69" t="s">
        <v>284</v>
      </c>
    </row>
    <row r="41" spans="1:7">
      <c r="A41">
        <v>38</v>
      </c>
      <c r="B41" s="71">
        <v>1500000</v>
      </c>
      <c r="C41" s="35">
        <v>46198</v>
      </c>
      <c r="D41" s="34" t="s">
        <v>292</v>
      </c>
      <c r="E41" s="2" t="s">
        <v>293</v>
      </c>
      <c r="F41" s="34" t="s">
        <v>294</v>
      </c>
      <c r="G41" s="2" t="s">
        <v>11</v>
      </c>
    </row>
    <row r="42" spans="1:7">
      <c r="A42">
        <v>39</v>
      </c>
      <c r="B42" s="71">
        <v>500000</v>
      </c>
      <c r="C42" s="35">
        <v>46198</v>
      </c>
      <c r="D42" s="34" t="s">
        <v>295</v>
      </c>
      <c r="E42" s="2" t="s">
        <v>296</v>
      </c>
      <c r="F42" s="34" t="s">
        <v>294</v>
      </c>
      <c r="G42" s="2" t="s">
        <v>11</v>
      </c>
    </row>
    <row r="43" spans="1:7">
      <c r="A43">
        <v>40</v>
      </c>
      <c r="B43" s="71">
        <v>576400</v>
      </c>
      <c r="C43" s="35">
        <v>46199</v>
      </c>
      <c r="D43" s="34" t="s">
        <v>297</v>
      </c>
      <c r="E43" s="2" t="s">
        <v>298</v>
      </c>
      <c r="F43" s="34" t="s">
        <v>299</v>
      </c>
      <c r="G43" s="2" t="s">
        <v>11</v>
      </c>
    </row>
    <row r="44" spans="1:7">
      <c r="A44">
        <v>41</v>
      </c>
      <c r="B44" s="71">
        <v>72700</v>
      </c>
      <c r="C44" s="35">
        <v>46197</v>
      </c>
      <c r="D44" s="34" t="s">
        <v>300</v>
      </c>
      <c r="E44" s="2" t="s">
        <v>300</v>
      </c>
      <c r="F44" s="34" t="s">
        <v>301</v>
      </c>
      <c r="G44" s="2" t="s">
        <v>11</v>
      </c>
    </row>
    <row r="45" spans="1:7">
      <c r="A45">
        <v>42</v>
      </c>
      <c r="B45" s="71">
        <v>153000</v>
      </c>
      <c r="C45" s="35">
        <v>46198</v>
      </c>
      <c r="D45" s="34" t="s">
        <v>302</v>
      </c>
      <c r="E45" s="2" t="s">
        <v>303</v>
      </c>
      <c r="F45" s="34" t="s">
        <v>304</v>
      </c>
      <c r="G45" s="2" t="s">
        <v>11</v>
      </c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E1FC-ED5B-4A9F-855B-B00EB39FAD66}">
  <dimension ref="B2:H19"/>
  <sheetViews>
    <sheetView workbookViewId="0">
      <selection activeCell="B13" sqref="B13"/>
    </sheetView>
  </sheetViews>
  <sheetFormatPr defaultRowHeight="16.5"/>
  <cols>
    <col min="1" max="1" width="2.375" customWidth="1"/>
    <col min="2" max="2" width="17.875" customWidth="1"/>
    <col min="3" max="3" width="15.875" customWidth="1"/>
    <col min="4" max="4" width="14.375" customWidth="1"/>
    <col min="5" max="5" width="14.125" bestFit="1" customWidth="1"/>
    <col min="6" max="6" width="14.25" customWidth="1"/>
  </cols>
  <sheetData>
    <row r="2" spans="2:8" s="12" customFormat="1" ht="26.25" customHeight="1">
      <c r="B2" s="13" t="s">
        <v>86</v>
      </c>
      <c r="C2" s="13" t="s">
        <v>87</v>
      </c>
      <c r="E2" s="12" t="s">
        <v>89</v>
      </c>
    </row>
    <row r="3" spans="2:8" s="12" customFormat="1" ht="26.25" customHeight="1">
      <c r="B3" s="16" t="s">
        <v>88</v>
      </c>
      <c r="C3" s="15">
        <v>90500000</v>
      </c>
      <c r="E3" s="13" t="s">
        <v>21</v>
      </c>
      <c r="F3" s="13" t="s">
        <v>17</v>
      </c>
    </row>
    <row r="4" spans="2:8" s="12" customFormat="1" ht="26.25" customHeight="1">
      <c r="B4" s="16" t="s">
        <v>16</v>
      </c>
      <c r="C4" s="20">
        <f>지출세부내역서!B29</f>
        <v>14266000</v>
      </c>
      <c r="E4" s="17">
        <f>C5/2</f>
        <v>38117000</v>
      </c>
      <c r="F4" s="17">
        <f>C5/2</f>
        <v>38117000</v>
      </c>
    </row>
    <row r="5" spans="2:8" s="12" customFormat="1" ht="26.25" customHeight="1">
      <c r="B5" s="16" t="s">
        <v>18</v>
      </c>
      <c r="C5" s="17">
        <f>C3-C4</f>
        <v>76234000</v>
      </c>
      <c r="F5" s="26"/>
    </row>
    <row r="6" spans="2:8" s="12" customFormat="1" ht="26.25" customHeight="1">
      <c r="B6" s="18"/>
      <c r="C6" s="19"/>
      <c r="F6" s="27"/>
    </row>
    <row r="7" spans="2:8" ht="26.25" customHeight="1">
      <c r="B7" s="12" t="s">
        <v>82</v>
      </c>
      <c r="C7" s="12"/>
      <c r="D7" s="12"/>
      <c r="E7" s="12"/>
    </row>
    <row r="8" spans="2:8" ht="26.25" customHeight="1">
      <c r="B8" s="13" t="s">
        <v>83</v>
      </c>
      <c r="C8" s="13" t="s">
        <v>20</v>
      </c>
      <c r="D8" s="13" t="s">
        <v>15</v>
      </c>
      <c r="E8" s="12"/>
      <c r="H8">
        <v>75465941</v>
      </c>
    </row>
    <row r="9" spans="2:8" ht="26.25" customHeight="1">
      <c r="B9" s="14">
        <f>C5/2</f>
        <v>38117000</v>
      </c>
      <c r="C9" s="15">
        <v>10800000</v>
      </c>
      <c r="D9" s="14">
        <f>SUM(B9:C9)</f>
        <v>48917000</v>
      </c>
      <c r="E9" s="12"/>
    </row>
    <row r="10" spans="2:8" ht="26.25" customHeight="1">
      <c r="B10" s="12"/>
      <c r="C10" s="12"/>
      <c r="D10" s="12"/>
      <c r="E10" s="12"/>
    </row>
    <row r="11" spans="2:8" ht="26.25" customHeight="1">
      <c r="B11" s="12" t="s">
        <v>84</v>
      </c>
      <c r="C11" s="12"/>
      <c r="D11" s="12"/>
      <c r="E11" s="12"/>
    </row>
    <row r="12" spans="2:8" ht="26.25" customHeight="1">
      <c r="B12" s="13" t="s">
        <v>83</v>
      </c>
      <c r="C12" s="13" t="s">
        <v>30</v>
      </c>
      <c r="D12" s="13" t="s">
        <v>85</v>
      </c>
      <c r="E12" s="13" t="s">
        <v>15</v>
      </c>
    </row>
    <row r="13" spans="2:8" ht="26.25" customHeight="1">
      <c r="B13" s="14">
        <f>B9</f>
        <v>38117000</v>
      </c>
      <c r="C13" s="15">
        <v>12000000</v>
      </c>
      <c r="D13" s="15">
        <v>2000000</v>
      </c>
      <c r="E13" s="15">
        <f>SUM(B13:D13)</f>
        <v>52117000</v>
      </c>
    </row>
    <row r="16" spans="2:8">
      <c r="B16" t="s">
        <v>102</v>
      </c>
    </row>
    <row r="17" spans="2:4" ht="24.75" customHeight="1">
      <c r="B17" s="13" t="s">
        <v>83</v>
      </c>
      <c r="C17" s="13" t="s">
        <v>104</v>
      </c>
      <c r="D17" s="15" t="s">
        <v>103</v>
      </c>
    </row>
    <row r="18" spans="2:4" ht="24.75" customHeight="1">
      <c r="B18" s="14">
        <f>B13</f>
        <v>38117000</v>
      </c>
      <c r="C18" s="15" t="e">
        <f>SUM(지출세부내역서!#REF!)</f>
        <v>#REF!</v>
      </c>
      <c r="D18" s="15" t="e">
        <f>SUM(B18:C18)</f>
        <v>#REF!</v>
      </c>
    </row>
    <row r="19" spans="2:4" ht="17.25">
      <c r="D19" s="3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5D6E-2678-482C-88B1-4B31BC9434B5}">
  <dimension ref="A1:P31"/>
  <sheetViews>
    <sheetView workbookViewId="0">
      <selection activeCell="L1" sqref="L1:L30"/>
    </sheetView>
  </sheetViews>
  <sheetFormatPr defaultRowHeight="14.25"/>
  <cols>
    <col min="1" max="1" width="8" style="46" customWidth="1"/>
    <col min="2" max="2" width="34" style="46" customWidth="1"/>
    <col min="3" max="4" width="12" style="46" customWidth="1"/>
    <col min="5" max="12" width="16" style="46" customWidth="1"/>
    <col min="13" max="14" width="12" style="46" customWidth="1"/>
    <col min="15" max="15" width="10" style="46" customWidth="1"/>
    <col min="16" max="16" width="30" style="46" customWidth="1"/>
    <col min="17" max="16384" width="9" style="46"/>
  </cols>
  <sheetData>
    <row r="1" spans="1:16" ht="15">
      <c r="A1" s="45" t="s">
        <v>149</v>
      </c>
      <c r="B1" s="45" t="s">
        <v>150</v>
      </c>
      <c r="C1" s="45" t="s">
        <v>151</v>
      </c>
      <c r="D1" s="45" t="s">
        <v>152</v>
      </c>
      <c r="E1" s="45" t="s">
        <v>153</v>
      </c>
      <c r="F1" s="45" t="s">
        <v>154</v>
      </c>
      <c r="G1" s="45" t="s">
        <v>155</v>
      </c>
      <c r="H1" s="45" t="s">
        <v>238</v>
      </c>
      <c r="I1" s="45" t="s">
        <v>288</v>
      </c>
      <c r="J1" s="45" t="s">
        <v>289</v>
      </c>
      <c r="K1" s="45" t="s">
        <v>290</v>
      </c>
      <c r="L1" s="45" t="s">
        <v>305</v>
      </c>
      <c r="M1" s="45" t="s">
        <v>156</v>
      </c>
      <c r="N1" s="45" t="s">
        <v>157</v>
      </c>
      <c r="O1" s="45" t="s">
        <v>158</v>
      </c>
      <c r="P1" s="45" t="s">
        <v>159</v>
      </c>
    </row>
    <row r="2" spans="1:16" ht="16.5">
      <c r="A2" s="47">
        <v>1</v>
      </c>
      <c r="B2" s="48" t="s">
        <v>160</v>
      </c>
      <c r="C2" s="47" t="s">
        <v>161</v>
      </c>
      <c r="D2" s="47" t="s">
        <v>162</v>
      </c>
      <c r="E2" s="47" t="s">
        <v>234</v>
      </c>
      <c r="F2" s="47" t="s">
        <v>234</v>
      </c>
      <c r="G2" s="47" t="s">
        <v>234</v>
      </c>
      <c r="H2" s="47" t="s">
        <v>253</v>
      </c>
      <c r="I2" s="47" t="s">
        <v>291</v>
      </c>
      <c r="J2" s="47" t="s">
        <v>234</v>
      </c>
      <c r="K2" s="47" t="s">
        <v>234</v>
      </c>
      <c r="L2" s="47" t="s">
        <v>234</v>
      </c>
      <c r="M2" s="47">
        <f>COUNTIF(E2:H2,"참석")+COUNTIF(J2:L2,"참석")</f>
        <v>7</v>
      </c>
      <c r="N2" s="47">
        <f>COUNTIF(E2:H2,"참석")+COUNTIF(E2:H2,"불참")+COUNTIF(J2:L2,"참석")+COUNTIF(J2:L2,"불참")</f>
        <v>7</v>
      </c>
      <c r="O2" s="49">
        <f>IF(N2=0,"",M2/N2)</f>
        <v>1</v>
      </c>
      <c r="P2" s="48"/>
    </row>
    <row r="3" spans="1:16" ht="16.5">
      <c r="A3" s="47">
        <v>2</v>
      </c>
      <c r="B3" s="48" t="s">
        <v>197</v>
      </c>
      <c r="C3" s="47" t="s">
        <v>163</v>
      </c>
      <c r="D3" s="47" t="s">
        <v>162</v>
      </c>
      <c r="E3" s="47" t="s">
        <v>234</v>
      </c>
      <c r="F3" s="47" t="s">
        <v>234</v>
      </c>
      <c r="G3" s="47" t="s">
        <v>234</v>
      </c>
      <c r="H3" s="47" t="s">
        <v>253</v>
      </c>
      <c r="I3" s="47" t="s">
        <v>291</v>
      </c>
      <c r="J3" s="47" t="s">
        <v>234</v>
      </c>
      <c r="K3" s="47" t="s">
        <v>234</v>
      </c>
      <c r="L3" s="47" t="s">
        <v>234</v>
      </c>
      <c r="M3" s="47">
        <f>COUNTIF(E3:H3,"참석")+COUNTIF(J3:L3,"참석")</f>
        <v>7</v>
      </c>
      <c r="N3" s="47">
        <f>COUNTIF(E3:H3,"참석")+COUNTIF(E3:H3,"불참")+COUNTIF(J3:L3,"참석")+COUNTIF(J3:L3,"불참")</f>
        <v>7</v>
      </c>
      <c r="O3" s="49">
        <f>IF(N3=0,"",M3/N3)</f>
        <v>1</v>
      </c>
      <c r="P3" s="48"/>
    </row>
    <row r="4" spans="1:16" ht="16.5">
      <c r="A4" s="47">
        <v>3</v>
      </c>
      <c r="B4" s="48" t="s">
        <v>164</v>
      </c>
      <c r="C4" s="47" t="s">
        <v>165</v>
      </c>
      <c r="D4" s="47" t="s">
        <v>166</v>
      </c>
      <c r="E4" s="47" t="s">
        <v>234</v>
      </c>
      <c r="F4" s="47" t="s">
        <v>234</v>
      </c>
      <c r="G4" s="47" t="s">
        <v>234</v>
      </c>
      <c r="H4" s="47" t="s">
        <v>253</v>
      </c>
      <c r="I4" s="47" t="s">
        <v>291</v>
      </c>
      <c r="J4" s="47" t="s">
        <v>234</v>
      </c>
      <c r="K4" s="47" t="s">
        <v>234</v>
      </c>
      <c r="L4" s="47" t="s">
        <v>234</v>
      </c>
      <c r="M4" s="47">
        <f>COUNTIF(E4:H4,"참석")+COUNTIF(J4:L4,"참석")</f>
        <v>7</v>
      </c>
      <c r="N4" s="47">
        <f>COUNTIF(E4:H4,"참석")+COUNTIF(E4:H4,"불참")+COUNTIF(J4:L4,"참석")+COUNTIF(J4:L4,"불참")</f>
        <v>7</v>
      </c>
      <c r="O4" s="49">
        <f>IF(N4=0,"",M4/N4)</f>
        <v>1</v>
      </c>
      <c r="P4" s="48"/>
    </row>
    <row r="5" spans="1:16" ht="16.5">
      <c r="A5" s="47">
        <v>4</v>
      </c>
      <c r="B5" s="48" t="s">
        <v>167</v>
      </c>
      <c r="C5" s="47" t="s">
        <v>168</v>
      </c>
      <c r="D5" s="47" t="s">
        <v>169</v>
      </c>
      <c r="E5" s="47" t="s">
        <v>234</v>
      </c>
      <c r="F5" s="47" t="s">
        <v>234</v>
      </c>
      <c r="G5" s="47" t="s">
        <v>234</v>
      </c>
      <c r="H5" s="47" t="s">
        <v>253</v>
      </c>
      <c r="I5" s="47"/>
      <c r="J5" s="47" t="s">
        <v>234</v>
      </c>
      <c r="K5" s="47" t="s">
        <v>234</v>
      </c>
      <c r="L5" s="47" t="s">
        <v>234</v>
      </c>
      <c r="M5" s="47">
        <f>COUNTIF(E5:H5,"참석")+COUNTIF(J5:L5,"참석")</f>
        <v>7</v>
      </c>
      <c r="N5" s="47">
        <f>COUNTIF(E5:H5,"참석")+COUNTIF(E5:H5,"불참")+COUNTIF(J5:L5,"참석")+COUNTIF(J5:L5,"불참")</f>
        <v>7</v>
      </c>
      <c r="O5" s="49">
        <f>IF(N5=0,"",M5/N5)</f>
        <v>1</v>
      </c>
      <c r="P5" s="48"/>
    </row>
    <row r="6" spans="1:16" ht="16.5">
      <c r="A6" s="47">
        <v>5</v>
      </c>
      <c r="B6" s="48" t="s">
        <v>170</v>
      </c>
      <c r="C6" s="47" t="s">
        <v>171</v>
      </c>
      <c r="D6" s="47" t="s">
        <v>172</v>
      </c>
      <c r="E6" s="47" t="s">
        <v>234</v>
      </c>
      <c r="F6" s="47" t="s">
        <v>173</v>
      </c>
      <c r="G6" s="47" t="s">
        <v>234</v>
      </c>
      <c r="H6" s="47" t="s">
        <v>253</v>
      </c>
      <c r="I6" s="47" t="s">
        <v>291</v>
      </c>
      <c r="J6" s="47" t="s">
        <v>234</v>
      </c>
      <c r="K6" s="47" t="s">
        <v>173</v>
      </c>
      <c r="L6" s="47" t="s">
        <v>234</v>
      </c>
      <c r="M6" s="47">
        <f>COUNTIF(E6:H6,"참석")+COUNTIF(J6:L6,"참석")</f>
        <v>5</v>
      </c>
      <c r="N6" s="47">
        <f>COUNTIF(E6:H6,"참석")+COUNTIF(E6:H6,"불참")+COUNTIF(J6:L6,"참석")+COUNTIF(J6:L6,"불참")</f>
        <v>7</v>
      </c>
      <c r="O6" s="49">
        <f>IF(N6=0,"",M6/N6)</f>
        <v>0.7142857142857143</v>
      </c>
      <c r="P6" s="48"/>
    </row>
    <row r="7" spans="1:16" ht="16.5">
      <c r="A7" s="47">
        <v>6</v>
      </c>
      <c r="B7" s="48" t="s">
        <v>174</v>
      </c>
      <c r="C7" s="47" t="s">
        <v>175</v>
      </c>
      <c r="D7" s="47" t="s">
        <v>176</v>
      </c>
      <c r="E7" s="47" t="s">
        <v>234</v>
      </c>
      <c r="F7" s="47" t="s">
        <v>234</v>
      </c>
      <c r="G7" s="47" t="s">
        <v>234</v>
      </c>
      <c r="H7" s="47" t="s">
        <v>253</v>
      </c>
      <c r="I7" s="47" t="s">
        <v>291</v>
      </c>
      <c r="J7" s="47" t="s">
        <v>234</v>
      </c>
      <c r="K7" s="47" t="s">
        <v>234</v>
      </c>
      <c r="L7" s="47" t="s">
        <v>234</v>
      </c>
      <c r="M7" s="47">
        <f>COUNTIF(E7:H7,"참석")+COUNTIF(J7:L7,"참석")</f>
        <v>7</v>
      </c>
      <c r="N7" s="47">
        <f>COUNTIF(E7:H7,"참석")+COUNTIF(E7:H7,"불참")+COUNTIF(J7:L7,"참석")+COUNTIF(J7:L7,"불참")</f>
        <v>7</v>
      </c>
      <c r="O7" s="49">
        <f>IF(N7=0,"",M7/N7)</f>
        <v>1</v>
      </c>
      <c r="P7" s="48"/>
    </row>
    <row r="8" spans="1:16" ht="16.5">
      <c r="A8" s="47">
        <v>7</v>
      </c>
      <c r="B8" s="48" t="s">
        <v>177</v>
      </c>
      <c r="C8" s="47" t="s">
        <v>178</v>
      </c>
      <c r="D8" s="47" t="s">
        <v>179</v>
      </c>
      <c r="E8" s="47" t="s">
        <v>173</v>
      </c>
      <c r="F8" s="47" t="s">
        <v>234</v>
      </c>
      <c r="G8" s="47" t="s">
        <v>173</v>
      </c>
      <c r="H8" s="47" t="s">
        <v>253</v>
      </c>
      <c r="I8" s="47"/>
      <c r="J8" s="47" t="s">
        <v>173</v>
      </c>
      <c r="K8" s="47" t="s">
        <v>234</v>
      </c>
      <c r="L8" s="47" t="s">
        <v>173</v>
      </c>
      <c r="M8" s="47">
        <f>COUNTIF(E8:H8,"참석")+COUNTIF(J8:L8,"참석")</f>
        <v>3</v>
      </c>
      <c r="N8" s="47">
        <f>COUNTIF(E8:H8,"참석")+COUNTIF(E8:H8,"불참")+COUNTIF(J8:L8,"참석")+COUNTIF(J8:L8,"불참")</f>
        <v>7</v>
      </c>
      <c r="O8" s="49">
        <f>IF(N8=0,"",M8/N8)</f>
        <v>0.42857142857142855</v>
      </c>
      <c r="P8" s="48"/>
    </row>
    <row r="9" spans="1:16" ht="16.5">
      <c r="A9" s="47">
        <v>8</v>
      </c>
      <c r="B9" s="48" t="s">
        <v>198</v>
      </c>
      <c r="C9" s="47" t="s">
        <v>199</v>
      </c>
      <c r="D9" s="47" t="s">
        <v>200</v>
      </c>
      <c r="E9" s="47" t="s">
        <v>233</v>
      </c>
      <c r="F9" s="47" t="s">
        <v>233</v>
      </c>
      <c r="G9" s="47" t="s">
        <v>234</v>
      </c>
      <c r="H9" s="47" t="s">
        <v>173</v>
      </c>
      <c r="I9" s="47" t="s">
        <v>291</v>
      </c>
      <c r="J9" s="47" t="s">
        <v>234</v>
      </c>
      <c r="K9" s="47" t="s">
        <v>234</v>
      </c>
      <c r="L9" s="47" t="s">
        <v>234</v>
      </c>
      <c r="M9" s="47">
        <f>COUNTIF(E9:H9,"참석")+COUNTIF(J9:L9,"참석")</f>
        <v>4</v>
      </c>
      <c r="N9" s="47">
        <f>COUNTIF(E9:H9,"참석")+COUNTIF(E9:H9,"불참")+COUNTIF(J9:L9,"참석")+COUNTIF(J9:L9,"불참")</f>
        <v>5</v>
      </c>
      <c r="O9" s="49">
        <f>IF(N9=0,"",M9/N9)</f>
        <v>0.8</v>
      </c>
      <c r="P9" s="48" t="s">
        <v>240</v>
      </c>
    </row>
    <row r="10" spans="1:16" ht="16.5">
      <c r="A10" s="47">
        <v>9</v>
      </c>
      <c r="B10" s="48" t="s">
        <v>201</v>
      </c>
      <c r="C10" s="47" t="s">
        <v>180</v>
      </c>
      <c r="D10" s="47" t="s">
        <v>181</v>
      </c>
      <c r="E10" s="47" t="s">
        <v>234</v>
      </c>
      <c r="F10" s="47" t="s">
        <v>232</v>
      </c>
      <c r="G10" s="47" t="s">
        <v>234</v>
      </c>
      <c r="H10" s="47" t="s">
        <v>253</v>
      </c>
      <c r="I10" s="47"/>
      <c r="J10" s="47" t="s">
        <v>173</v>
      </c>
      <c r="K10" s="47" t="s">
        <v>173</v>
      </c>
      <c r="L10" s="47" t="s">
        <v>234</v>
      </c>
      <c r="M10" s="47">
        <f>COUNTIF(E10:H10,"참석")+COUNTIF(J10:L10,"참석")</f>
        <v>4</v>
      </c>
      <c r="N10" s="47">
        <f>COUNTIF(E10:H10,"참석")+COUNTIF(E10:H10,"불참")+COUNTIF(J10:L10,"참석")+COUNTIF(J10:L10,"불참")</f>
        <v>7</v>
      </c>
      <c r="O10" s="49">
        <f>IF(N10=0,"",M10/N10)</f>
        <v>0.5714285714285714</v>
      </c>
      <c r="P10" s="48"/>
    </row>
    <row r="11" spans="1:16" ht="16.5">
      <c r="A11" s="47">
        <v>10</v>
      </c>
      <c r="B11" s="48" t="s">
        <v>182</v>
      </c>
      <c r="C11" s="47" t="s">
        <v>183</v>
      </c>
      <c r="D11" s="47" t="s">
        <v>184</v>
      </c>
      <c r="E11" s="47" t="s">
        <v>234</v>
      </c>
      <c r="F11" s="47" t="s">
        <v>234</v>
      </c>
      <c r="G11" s="47" t="s">
        <v>234</v>
      </c>
      <c r="H11" s="47" t="s">
        <v>173</v>
      </c>
      <c r="I11" s="47"/>
      <c r="J11" s="47" t="s">
        <v>173</v>
      </c>
      <c r="K11" s="47" t="s">
        <v>173</v>
      </c>
      <c r="L11" s="47" t="s">
        <v>173</v>
      </c>
      <c r="M11" s="47">
        <f>COUNTIF(E11:H11,"참석")+COUNTIF(J11:L11,"참석")</f>
        <v>3</v>
      </c>
      <c r="N11" s="47">
        <f>COUNTIF(E11:H11,"참석")+COUNTIF(E11:H11,"불참")+COUNTIF(J11:L11,"참석")+COUNTIF(J11:L11,"불참")</f>
        <v>7</v>
      </c>
      <c r="O11" s="49">
        <f>IF(N11=0,"",M11/N11)</f>
        <v>0.42857142857142855</v>
      </c>
      <c r="P11" s="48"/>
    </row>
    <row r="12" spans="1:16" ht="16.5">
      <c r="A12" s="47">
        <v>11</v>
      </c>
      <c r="B12" s="48" t="s">
        <v>185</v>
      </c>
      <c r="C12" s="47" t="s">
        <v>186</v>
      </c>
      <c r="D12" s="47" t="s">
        <v>179</v>
      </c>
      <c r="E12" s="47" t="s">
        <v>234</v>
      </c>
      <c r="F12" s="47" t="s">
        <v>234</v>
      </c>
      <c r="G12" s="47" t="s">
        <v>234</v>
      </c>
      <c r="H12" s="47" t="s">
        <v>253</v>
      </c>
      <c r="I12" s="47"/>
      <c r="J12" s="47" t="s">
        <v>173</v>
      </c>
      <c r="K12" s="47" t="s">
        <v>173</v>
      </c>
      <c r="L12" s="47" t="s">
        <v>234</v>
      </c>
      <c r="M12" s="47">
        <f>COUNTIF(E12:H12,"참석")+COUNTIF(J12:L12,"참석")</f>
        <v>5</v>
      </c>
      <c r="N12" s="47">
        <f>COUNTIF(E12:H12,"참석")+COUNTIF(E12:H12,"불참")+COUNTIF(J12:L12,"참석")+COUNTIF(J12:L12,"불참")</f>
        <v>7</v>
      </c>
      <c r="O12" s="49">
        <f>IF(N12=0,"",M12/N12)</f>
        <v>0.7142857142857143</v>
      </c>
      <c r="P12" s="48"/>
    </row>
    <row r="13" spans="1:16" ht="16.5">
      <c r="A13" s="47">
        <v>12</v>
      </c>
      <c r="B13" s="48" t="s">
        <v>187</v>
      </c>
      <c r="C13" s="47" t="s">
        <v>188</v>
      </c>
      <c r="D13" s="47" t="s">
        <v>181</v>
      </c>
      <c r="E13" s="47" t="s">
        <v>173</v>
      </c>
      <c r="F13" s="47" t="s">
        <v>234</v>
      </c>
      <c r="G13" s="47" t="s">
        <v>234</v>
      </c>
      <c r="H13" s="47" t="s">
        <v>173</v>
      </c>
      <c r="I13" s="47"/>
      <c r="J13" s="47" t="s">
        <v>173</v>
      </c>
      <c r="K13" s="47" t="s">
        <v>173</v>
      </c>
      <c r="L13" s="47" t="s">
        <v>173</v>
      </c>
      <c r="M13" s="47">
        <f>COUNTIF(E13:H13,"참석")+COUNTIF(J13:L13,"참석")</f>
        <v>2</v>
      </c>
      <c r="N13" s="47">
        <f>COUNTIF(E13:H13,"참석")+COUNTIF(E13:H13,"불참")+COUNTIF(J13:L13,"참석")+COUNTIF(J13:L13,"불참")</f>
        <v>7</v>
      </c>
      <c r="O13" s="49">
        <f>IF(N13=0,"",M13/N13)</f>
        <v>0.2857142857142857</v>
      </c>
      <c r="P13" s="48"/>
    </row>
    <row r="14" spans="1:16" ht="16.5">
      <c r="A14" s="47">
        <v>13</v>
      </c>
      <c r="B14" s="48" t="s">
        <v>202</v>
      </c>
      <c r="C14" s="47" t="s">
        <v>189</v>
      </c>
      <c r="D14" s="47" t="s">
        <v>190</v>
      </c>
      <c r="E14" s="47" t="s">
        <v>232</v>
      </c>
      <c r="F14" s="47" t="s">
        <v>234</v>
      </c>
      <c r="G14" s="47" t="s">
        <v>234</v>
      </c>
      <c r="H14" s="47" t="s">
        <v>173</v>
      </c>
      <c r="I14" s="47"/>
      <c r="J14" s="47" t="s">
        <v>173</v>
      </c>
      <c r="K14" s="47" t="s">
        <v>173</v>
      </c>
      <c r="L14" s="47" t="s">
        <v>173</v>
      </c>
      <c r="M14" s="47">
        <f>COUNTIF(E14:H14,"참석")+COUNTIF(J14:L14,"참석")</f>
        <v>2</v>
      </c>
      <c r="N14" s="47">
        <f>COUNTIF(E14:H14,"참석")+COUNTIF(E14:H14,"불참")+COUNTIF(J14:L14,"참석")+COUNTIF(J14:L14,"불참")</f>
        <v>7</v>
      </c>
      <c r="O14" s="49">
        <f>IF(N14=0,"",M14/N14)</f>
        <v>0.2857142857142857</v>
      </c>
      <c r="P14" s="48"/>
    </row>
    <row r="15" spans="1:16" ht="16.5">
      <c r="A15" s="47">
        <v>14</v>
      </c>
      <c r="B15" s="48" t="s">
        <v>191</v>
      </c>
      <c r="C15" s="47" t="s">
        <v>192</v>
      </c>
      <c r="D15" s="47" t="s">
        <v>193</v>
      </c>
      <c r="E15" s="47" t="s">
        <v>235</v>
      </c>
      <c r="F15" s="47" t="s">
        <v>234</v>
      </c>
      <c r="G15" s="47" t="s">
        <v>232</v>
      </c>
      <c r="H15" s="47" t="s">
        <v>253</v>
      </c>
      <c r="I15" s="47"/>
      <c r="J15" s="47" t="s">
        <v>234</v>
      </c>
      <c r="K15" s="47" t="s">
        <v>234</v>
      </c>
      <c r="L15" s="47" t="s">
        <v>234</v>
      </c>
      <c r="M15" s="47">
        <f>COUNTIF(E15:H15,"참석")+COUNTIF(J15:L15,"참석")</f>
        <v>6</v>
      </c>
      <c r="N15" s="47">
        <f>COUNTIF(E15:H15,"참석")+COUNTIF(E15:H15,"불참")+COUNTIF(J15:L15,"참석")+COUNTIF(J15:L15,"불참")</f>
        <v>7</v>
      </c>
      <c r="O15" s="49">
        <f>IF(N15=0,"",M15/N15)</f>
        <v>0.8571428571428571</v>
      </c>
      <c r="P15" s="48"/>
    </row>
    <row r="16" spans="1:16" ht="16.5">
      <c r="A16" s="47">
        <v>15</v>
      </c>
      <c r="B16" s="46" t="s">
        <v>194</v>
      </c>
      <c r="C16" s="50" t="s">
        <v>195</v>
      </c>
      <c r="D16" s="50" t="s">
        <v>196</v>
      </c>
      <c r="E16" s="46" t="s">
        <v>232</v>
      </c>
      <c r="F16" s="46" t="s">
        <v>234</v>
      </c>
      <c r="G16" s="47" t="s">
        <v>232</v>
      </c>
      <c r="H16" s="47" t="s">
        <v>253</v>
      </c>
      <c r="I16" s="47" t="s">
        <v>291</v>
      </c>
      <c r="J16" s="47" t="s">
        <v>173</v>
      </c>
      <c r="K16" s="47" t="s">
        <v>234</v>
      </c>
      <c r="L16" s="47" t="s">
        <v>173</v>
      </c>
      <c r="M16" s="47">
        <f>COUNTIF(E16:H16,"참석")+COUNTIF(J16:L16,"참석")</f>
        <v>3</v>
      </c>
      <c r="N16" s="47">
        <f>COUNTIF(E16:H16,"참석")+COUNTIF(E16:H16,"불참")+COUNTIF(J16:L16,"참석")+COUNTIF(J16:L16,"불참")</f>
        <v>7</v>
      </c>
      <c r="O16" s="49">
        <f>IF(N16=0,"",M16/N16)</f>
        <v>0.42857142857142855</v>
      </c>
    </row>
    <row r="17" spans="1:16" ht="16.5">
      <c r="A17" s="47">
        <v>16</v>
      </c>
      <c r="B17" s="46" t="s">
        <v>203</v>
      </c>
      <c r="C17" s="50" t="s">
        <v>204</v>
      </c>
      <c r="D17" s="50" t="s">
        <v>162</v>
      </c>
      <c r="E17" s="46" t="s">
        <v>235</v>
      </c>
      <c r="F17" s="46" t="s">
        <v>234</v>
      </c>
      <c r="G17" s="47" t="s">
        <v>234</v>
      </c>
      <c r="H17" s="47" t="s">
        <v>173</v>
      </c>
      <c r="I17" s="47"/>
      <c r="J17" s="47" t="s">
        <v>234</v>
      </c>
      <c r="K17" s="47" t="s">
        <v>234</v>
      </c>
      <c r="L17" s="47" t="s">
        <v>173</v>
      </c>
      <c r="M17" s="47">
        <f>COUNTIF(E17:H17,"참석")+COUNTIF(J17:L17,"참석")</f>
        <v>5</v>
      </c>
      <c r="N17" s="47">
        <f>COUNTIF(E17:H17,"참석")+COUNTIF(E17:H17,"불참")+COUNTIF(J17:L17,"참석")+COUNTIF(J17:L17,"불참")</f>
        <v>7</v>
      </c>
      <c r="O17" s="49">
        <f>IF(N17=0,"",M17/N17)</f>
        <v>0.7142857142857143</v>
      </c>
    </row>
    <row r="18" spans="1:16" ht="16.5">
      <c r="A18" s="47">
        <v>17</v>
      </c>
      <c r="B18" s="46" t="s">
        <v>205</v>
      </c>
      <c r="C18" s="50" t="s">
        <v>206</v>
      </c>
      <c r="D18" s="50" t="s">
        <v>162</v>
      </c>
      <c r="E18" s="46" t="s">
        <v>235</v>
      </c>
      <c r="F18" s="46" t="s">
        <v>234</v>
      </c>
      <c r="G18" s="47" t="s">
        <v>232</v>
      </c>
      <c r="H18" s="47" t="s">
        <v>173</v>
      </c>
      <c r="I18" s="47"/>
      <c r="J18" s="47" t="s">
        <v>173</v>
      </c>
      <c r="K18" s="47" t="s">
        <v>173</v>
      </c>
      <c r="L18" s="47" t="s">
        <v>234</v>
      </c>
      <c r="M18" s="47">
        <f>COUNTIF(E18:H18,"참석")+COUNTIF(J18:L18,"참석")</f>
        <v>3</v>
      </c>
      <c r="N18" s="47">
        <f>COUNTIF(E18:H18,"참석")+COUNTIF(E18:H18,"불참")+COUNTIF(J18:L18,"참석")+COUNTIF(J18:L18,"불참")</f>
        <v>7</v>
      </c>
      <c r="O18" s="49">
        <f>IF(N18=0,"",M18/N18)</f>
        <v>0.42857142857142855</v>
      </c>
    </row>
    <row r="19" spans="1:16" ht="16.5">
      <c r="A19" s="47">
        <v>18</v>
      </c>
      <c r="B19" s="46" t="s">
        <v>251</v>
      </c>
      <c r="C19" s="50" t="s">
        <v>236</v>
      </c>
      <c r="D19" s="50" t="s">
        <v>252</v>
      </c>
      <c r="E19" s="46" t="s">
        <v>237</v>
      </c>
      <c r="F19" s="46" t="s">
        <v>237</v>
      </c>
      <c r="G19" s="47" t="s">
        <v>237</v>
      </c>
      <c r="H19" s="47" t="s">
        <v>253</v>
      </c>
      <c r="I19" s="47"/>
      <c r="J19" s="47" t="s">
        <v>234</v>
      </c>
      <c r="K19" s="47" t="s">
        <v>234</v>
      </c>
      <c r="L19" s="47" t="s">
        <v>234</v>
      </c>
      <c r="M19" s="47">
        <f>COUNTIF(E19:H19,"참석")+COUNTIF(J19:L19,"참석")</f>
        <v>4</v>
      </c>
      <c r="N19" s="47">
        <f>COUNTIF(E19:H19,"참석")+COUNTIF(E19:H19,"불참")+COUNTIF(J19:L19,"참석")+COUNTIF(J19:L19,"불참")</f>
        <v>4</v>
      </c>
      <c r="O19" s="49">
        <f>IF(N19=0,"",M19/N19)</f>
        <v>1</v>
      </c>
      <c r="P19" s="46" t="s">
        <v>239</v>
      </c>
    </row>
    <row r="20" spans="1:16" ht="16.5">
      <c r="A20" s="47">
        <v>19</v>
      </c>
      <c r="B20" s="46" t="s">
        <v>207</v>
      </c>
      <c r="C20" s="50" t="s">
        <v>208</v>
      </c>
      <c r="D20" s="50" t="s">
        <v>209</v>
      </c>
      <c r="E20" s="46" t="s">
        <v>235</v>
      </c>
      <c r="F20" s="46" t="s">
        <v>234</v>
      </c>
      <c r="G20" s="47" t="s">
        <v>234</v>
      </c>
      <c r="H20" s="47" t="s">
        <v>173</v>
      </c>
      <c r="I20" s="47"/>
      <c r="J20" s="47" t="s">
        <v>234</v>
      </c>
      <c r="K20" s="47" t="s">
        <v>234</v>
      </c>
      <c r="L20" s="47" t="s">
        <v>173</v>
      </c>
      <c r="M20" s="47">
        <f>COUNTIF(E20:H20,"참석")+COUNTIF(J20:L20,"참석")</f>
        <v>5</v>
      </c>
      <c r="N20" s="47">
        <f>COUNTIF(E20:H20,"참석")+COUNTIF(E20:H20,"불참")+COUNTIF(J20:L20,"참석")+COUNTIF(J20:L20,"불참")</f>
        <v>7</v>
      </c>
      <c r="O20" s="49">
        <f>IF(N20=0,"",M20/N20)</f>
        <v>0.7142857142857143</v>
      </c>
    </row>
    <row r="21" spans="1:16" ht="16.5">
      <c r="A21" s="47">
        <v>20</v>
      </c>
      <c r="B21" s="46" t="s">
        <v>210</v>
      </c>
      <c r="C21" s="50" t="s">
        <v>211</v>
      </c>
      <c r="D21" s="50" t="s">
        <v>166</v>
      </c>
      <c r="E21" s="46" t="s">
        <v>232</v>
      </c>
      <c r="F21" s="46" t="s">
        <v>234</v>
      </c>
      <c r="G21" s="47" t="s">
        <v>234</v>
      </c>
      <c r="H21" s="47" t="s">
        <v>253</v>
      </c>
      <c r="I21" s="47"/>
      <c r="J21" s="47" t="s">
        <v>234</v>
      </c>
      <c r="K21" s="47" t="s">
        <v>234</v>
      </c>
      <c r="L21" s="47" t="s">
        <v>234</v>
      </c>
      <c r="M21" s="47">
        <f>COUNTIF(E21:H21,"참석")+COUNTIF(J21:L21,"참석")</f>
        <v>6</v>
      </c>
      <c r="N21" s="47">
        <f>COUNTIF(E21:H21,"참석")+COUNTIF(E21:H21,"불참")+COUNTIF(J21:L21,"참석")+COUNTIF(J21:L21,"불참")</f>
        <v>7</v>
      </c>
      <c r="O21" s="49">
        <f>IF(N21=0,"",M21/N21)</f>
        <v>0.8571428571428571</v>
      </c>
    </row>
    <row r="22" spans="1:16" ht="16.5">
      <c r="A22" s="47">
        <v>21</v>
      </c>
      <c r="B22" s="46" t="s">
        <v>212</v>
      </c>
      <c r="C22" s="50" t="s">
        <v>213</v>
      </c>
      <c r="D22" s="50" t="s">
        <v>169</v>
      </c>
      <c r="E22" s="46" t="s">
        <v>235</v>
      </c>
      <c r="F22" s="46" t="s">
        <v>232</v>
      </c>
      <c r="G22" s="47" t="s">
        <v>234</v>
      </c>
      <c r="H22" s="47" t="s">
        <v>253</v>
      </c>
      <c r="I22" s="47"/>
      <c r="J22" s="47" t="s">
        <v>173</v>
      </c>
      <c r="K22" s="47" t="s">
        <v>173</v>
      </c>
      <c r="L22" s="47" t="s">
        <v>173</v>
      </c>
      <c r="M22" s="47">
        <f>COUNTIF(E22:H22,"참석")+COUNTIF(J22:L22,"참석")</f>
        <v>3</v>
      </c>
      <c r="N22" s="47">
        <f>COUNTIF(E22:H22,"참석")+COUNTIF(E22:H22,"불참")+COUNTIF(J22:L22,"참석")+COUNTIF(J22:L22,"불참")</f>
        <v>7</v>
      </c>
      <c r="O22" s="49">
        <f>IF(N22=0,"",M22/N22)</f>
        <v>0.42857142857142855</v>
      </c>
    </row>
    <row r="23" spans="1:16" ht="16.5">
      <c r="A23" s="47">
        <v>22</v>
      </c>
      <c r="B23" s="46" t="s">
        <v>214</v>
      </c>
      <c r="C23" s="50" t="s">
        <v>215</v>
      </c>
      <c r="D23" s="50" t="s">
        <v>216</v>
      </c>
      <c r="E23" s="46" t="s">
        <v>235</v>
      </c>
      <c r="F23" s="46" t="s">
        <v>234</v>
      </c>
      <c r="G23" s="47" t="s">
        <v>232</v>
      </c>
      <c r="H23" s="47" t="s">
        <v>253</v>
      </c>
      <c r="I23" s="47"/>
      <c r="J23" s="47" t="s">
        <v>173</v>
      </c>
      <c r="K23" s="47" t="s">
        <v>234</v>
      </c>
      <c r="L23" s="47" t="s">
        <v>234</v>
      </c>
      <c r="M23" s="47">
        <f>COUNTIF(E23:H23,"참석")+COUNTIF(J23:L23,"참석")</f>
        <v>5</v>
      </c>
      <c r="N23" s="47">
        <f>COUNTIF(E23:H23,"참석")+COUNTIF(E23:H23,"불참")+COUNTIF(J23:L23,"참석")+COUNTIF(J23:L23,"불참")</f>
        <v>7</v>
      </c>
      <c r="O23" s="49">
        <f>IF(N23=0,"",M23/N23)</f>
        <v>0.7142857142857143</v>
      </c>
    </row>
    <row r="24" spans="1:16" ht="16.5">
      <c r="A24" s="47">
        <v>23</v>
      </c>
      <c r="B24" s="46" t="s">
        <v>217</v>
      </c>
      <c r="C24" s="50" t="s">
        <v>218</v>
      </c>
      <c r="D24" s="50" t="s">
        <v>190</v>
      </c>
      <c r="E24" s="46" t="s">
        <v>232</v>
      </c>
      <c r="F24" s="46" t="s">
        <v>232</v>
      </c>
      <c r="G24" s="47" t="s">
        <v>234</v>
      </c>
      <c r="H24" s="47" t="s">
        <v>173</v>
      </c>
      <c r="I24" s="47" t="s">
        <v>291</v>
      </c>
      <c r="J24" s="47" t="s">
        <v>234</v>
      </c>
      <c r="K24" s="47" t="s">
        <v>173</v>
      </c>
      <c r="L24" s="47" t="s">
        <v>173</v>
      </c>
      <c r="M24" s="47">
        <f>COUNTIF(E24:H24,"참석")+COUNTIF(J24:L24,"참석")</f>
        <v>2</v>
      </c>
      <c r="N24" s="47">
        <f>COUNTIF(E24:H24,"참석")+COUNTIF(E24:H24,"불참")+COUNTIF(J24:L24,"참석")+COUNTIF(J24:L24,"불참")</f>
        <v>7</v>
      </c>
      <c r="O24" s="49">
        <f>IF(N24=0,"",M24/N24)</f>
        <v>0.2857142857142857</v>
      </c>
    </row>
    <row r="25" spans="1:16" ht="16.5">
      <c r="A25" s="47">
        <v>24</v>
      </c>
      <c r="B25" s="46" t="s">
        <v>219</v>
      </c>
      <c r="C25" s="50" t="s">
        <v>220</v>
      </c>
      <c r="D25" s="50" t="s">
        <v>196</v>
      </c>
      <c r="E25" s="46" t="s">
        <v>235</v>
      </c>
      <c r="F25" s="46" t="s">
        <v>234</v>
      </c>
      <c r="G25" s="47" t="s">
        <v>234</v>
      </c>
      <c r="H25" s="47" t="s">
        <v>253</v>
      </c>
      <c r="I25" s="47"/>
      <c r="J25" s="47" t="s">
        <v>234</v>
      </c>
      <c r="K25" s="47" t="s">
        <v>234</v>
      </c>
      <c r="L25" s="47" t="s">
        <v>234</v>
      </c>
      <c r="M25" s="47">
        <f>COUNTIF(E25:H25,"참석")+COUNTIF(J25:L25,"참석")</f>
        <v>7</v>
      </c>
      <c r="N25" s="47">
        <f>COUNTIF(E25:H25,"참석")+COUNTIF(E25:H25,"불참")+COUNTIF(J25:L25,"참석")+COUNTIF(J25:L25,"불참")</f>
        <v>7</v>
      </c>
      <c r="O25" s="49">
        <f>IF(N25=0,"",M25/N25)</f>
        <v>1</v>
      </c>
    </row>
    <row r="26" spans="1:16" ht="16.5">
      <c r="A26" s="47">
        <v>25</v>
      </c>
      <c r="B26" s="46" t="s">
        <v>221</v>
      </c>
      <c r="C26" s="50" t="s">
        <v>222</v>
      </c>
      <c r="D26" s="50" t="s">
        <v>196</v>
      </c>
      <c r="E26" s="46" t="s">
        <v>232</v>
      </c>
      <c r="F26" s="46" t="s">
        <v>234</v>
      </c>
      <c r="G26" s="47" t="s">
        <v>232</v>
      </c>
      <c r="H26" s="47" t="s">
        <v>173</v>
      </c>
      <c r="I26" s="47"/>
      <c r="J26" s="47" t="s">
        <v>173</v>
      </c>
      <c r="K26" s="47" t="s">
        <v>173</v>
      </c>
      <c r="L26" s="47" t="s">
        <v>173</v>
      </c>
      <c r="M26" s="47">
        <f>COUNTIF(E26:H26,"참석")+COUNTIF(J26:L26,"참석")</f>
        <v>1</v>
      </c>
      <c r="N26" s="47">
        <f>COUNTIF(E26:H26,"참석")+COUNTIF(E26:H26,"불참")+COUNTIF(J26:L26,"참석")+COUNTIF(J26:L26,"불참")</f>
        <v>7</v>
      </c>
      <c r="O26" s="49">
        <f>IF(N26=0,"",M26/N26)</f>
        <v>0.14285714285714285</v>
      </c>
    </row>
    <row r="27" spans="1:16" ht="16.5">
      <c r="A27" s="47">
        <v>26</v>
      </c>
      <c r="B27" s="46" t="s">
        <v>223</v>
      </c>
      <c r="C27" s="50" t="s">
        <v>224</v>
      </c>
      <c r="D27" s="50" t="s">
        <v>200</v>
      </c>
      <c r="E27" s="46" t="s">
        <v>235</v>
      </c>
      <c r="F27" s="46" t="s">
        <v>234</v>
      </c>
      <c r="G27" s="47" t="s">
        <v>232</v>
      </c>
      <c r="H27" s="47" t="s">
        <v>253</v>
      </c>
      <c r="I27" s="47"/>
      <c r="J27" s="47" t="s">
        <v>234</v>
      </c>
      <c r="K27" s="47" t="s">
        <v>234</v>
      </c>
      <c r="L27" s="47" t="s">
        <v>234</v>
      </c>
      <c r="M27" s="47">
        <f>COUNTIF(E27:H27,"참석")+COUNTIF(J27:L27,"참석")</f>
        <v>6</v>
      </c>
      <c r="N27" s="47">
        <f>COUNTIF(E27:H27,"참석")+COUNTIF(E27:H27,"불참")+COUNTIF(J27:L27,"참석")+COUNTIF(J27:L27,"불참")</f>
        <v>7</v>
      </c>
      <c r="O27" s="49">
        <f>IF(N27=0,"",M27/N27)</f>
        <v>0.8571428571428571</v>
      </c>
    </row>
    <row r="28" spans="1:16" ht="16.5">
      <c r="A28" s="47">
        <v>27</v>
      </c>
      <c r="B28" s="46" t="s">
        <v>225</v>
      </c>
      <c r="C28" s="50" t="s">
        <v>226</v>
      </c>
      <c r="D28" s="50" t="s">
        <v>181</v>
      </c>
      <c r="E28" s="46" t="s">
        <v>235</v>
      </c>
      <c r="F28" s="46" t="s">
        <v>234</v>
      </c>
      <c r="G28" s="47" t="s">
        <v>234</v>
      </c>
      <c r="H28" s="47" t="s">
        <v>253</v>
      </c>
      <c r="I28" s="47"/>
      <c r="J28" s="47" t="s">
        <v>234</v>
      </c>
      <c r="K28" s="47" t="s">
        <v>234</v>
      </c>
      <c r="L28" s="47" t="s">
        <v>234</v>
      </c>
      <c r="M28" s="47">
        <f>COUNTIF(E28:H28,"참석")+COUNTIF(J28:L28,"참석")</f>
        <v>7</v>
      </c>
      <c r="N28" s="47">
        <f>COUNTIF(E28:H28,"참석")+COUNTIF(E28:H28,"불참")+COUNTIF(J28:L28,"참석")+COUNTIF(J28:L28,"불참")</f>
        <v>7</v>
      </c>
      <c r="O28" s="49">
        <f>IF(N28=0,"",M28/N28)</f>
        <v>1</v>
      </c>
    </row>
    <row r="29" spans="1:16" ht="16.5">
      <c r="A29" s="47">
        <v>28</v>
      </c>
      <c r="B29" s="46" t="s">
        <v>227</v>
      </c>
      <c r="C29" s="50" t="s">
        <v>228</v>
      </c>
      <c r="D29" s="50" t="s">
        <v>229</v>
      </c>
      <c r="E29" s="46" t="s">
        <v>235</v>
      </c>
      <c r="F29" s="46" t="s">
        <v>232</v>
      </c>
      <c r="G29" s="47" t="s">
        <v>232</v>
      </c>
      <c r="H29" s="47" t="s">
        <v>253</v>
      </c>
      <c r="I29" s="47"/>
      <c r="J29" s="47" t="s">
        <v>173</v>
      </c>
      <c r="K29" s="47" t="s">
        <v>173</v>
      </c>
      <c r="L29" s="47" t="s">
        <v>173</v>
      </c>
      <c r="M29" s="47">
        <f>COUNTIF(E29:H29,"참석")+COUNTIF(J29:L29,"참석")</f>
        <v>2</v>
      </c>
      <c r="N29" s="47">
        <f>COUNTIF(E29:H29,"참석")+COUNTIF(E29:H29,"불참")+COUNTIF(J29:L29,"참석")+COUNTIF(J29:L29,"불참")</f>
        <v>7</v>
      </c>
      <c r="O29" s="49">
        <f>IF(N29=0,"",M29/N29)</f>
        <v>0.2857142857142857</v>
      </c>
    </row>
    <row r="30" spans="1:16" ht="16.5">
      <c r="A30" s="47">
        <v>29</v>
      </c>
      <c r="C30" s="50" t="s">
        <v>230</v>
      </c>
      <c r="D30" s="50" t="s">
        <v>231</v>
      </c>
      <c r="E30" s="46" t="s">
        <v>234</v>
      </c>
      <c r="F30" s="46" t="s">
        <v>232</v>
      </c>
      <c r="G30" s="47" t="s">
        <v>232</v>
      </c>
      <c r="H30" s="47" t="s">
        <v>173</v>
      </c>
      <c r="I30" s="47"/>
      <c r="J30" s="47" t="s">
        <v>173</v>
      </c>
      <c r="K30" s="47" t="s">
        <v>173</v>
      </c>
      <c r="L30" s="47" t="s">
        <v>173</v>
      </c>
      <c r="M30" s="47">
        <f>COUNTIF(E30:H30,"참석")+COUNTIF(J30:L30,"참석")</f>
        <v>1</v>
      </c>
      <c r="N30" s="47">
        <f>COUNTIF(E30:H30,"참석")+COUNTIF(E30:H30,"불참")+COUNTIF(J30:L30,"참석")+COUNTIF(J30:L30,"불참")</f>
        <v>7</v>
      </c>
      <c r="O30" s="49">
        <f>IF(N30=0,"",M30/N30)</f>
        <v>0.14285714285714285</v>
      </c>
    </row>
    <row r="31" spans="1:16" ht="16.5">
      <c r="E31" s="46">
        <f>COUNTIF(E2:E29,"참석")</f>
        <v>19</v>
      </c>
      <c r="F31" s="46">
        <f>COUNTIF(F2:F29,"참석")</f>
        <v>21</v>
      </c>
      <c r="G31" s="46">
        <f>COUNTIF(G2:G29,"참석")</f>
        <v>19</v>
      </c>
      <c r="O31" s="49" t="str">
        <f t="shared" ref="O31" si="0">IF(N31=0,"",M31/N31)</f>
        <v/>
      </c>
    </row>
  </sheetData>
  <autoFilter ref="A1:P31" xr:uid="{C0625D6E-2678-482C-88B1-4B31BC9434B5}">
    <sortState xmlns:xlrd2="http://schemas.microsoft.com/office/spreadsheetml/2017/richdata2" ref="A2:P31">
      <sortCondition ref="C1:C3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항목별(피벗)</vt:lpstr>
      <vt:lpstr>실수입내역</vt:lpstr>
      <vt:lpstr>주차별 지출액(피벗)</vt:lpstr>
      <vt:lpstr>지출세부내역서</vt:lpstr>
      <vt:lpstr>수익배분(피벗)</vt:lpstr>
      <vt:lpstr>회차별 출석현황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현길 박</dc:creator>
  <cp:lastModifiedBy>Innobiz</cp:lastModifiedBy>
  <cp:lastPrinted>2025-07-14T05:49:27Z</cp:lastPrinted>
  <dcterms:created xsi:type="dcterms:W3CDTF">2024-05-13T00:29:49Z</dcterms:created>
  <dcterms:modified xsi:type="dcterms:W3CDTF">2026-06-29T07:17:18Z</dcterms:modified>
</cp:coreProperties>
</file>