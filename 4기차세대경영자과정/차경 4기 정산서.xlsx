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D9285691-3816-4A3F-B46E-36B4AFDF3231}" xr6:coauthVersionLast="47" xr6:coauthVersionMax="47" xr10:uidLastSave="{00000000-0000-0000-0000-000000000000}"/>
  <bookViews>
    <workbookView xWindow="2868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<sst xmlns="http://schemas.openxmlformats.org/spreadsheetml/2006/main" count="904" uniqueCount="347">
  <si>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</si>
  <si>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</si>
  <si>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</si>
  <si>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</si>
  <si>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</si>
  <si>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</si>
  <si>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</si>
  <si>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</si>
  <si>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</si>
  <si>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</si>
  <si>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</si>
  <si>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</si>
  <si>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</si>
  <si>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</si>
  <si>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</si>
  <si>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</si>
  <si>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</si>
  <si>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</si>
  <si>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</si>
  <si>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</si>
  <si>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</si>
  <si>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</si>
  <si>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</si>
  <si>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</si>
  <si>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</si>
  <si>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</si>
  <si>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</si>
  <si>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</si>
  <si>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</si>
  <si>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</si>
  <si>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</si>
  <si>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</si>
  <si>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</si>
  <si>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</si>
  <si>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</si>
  <si>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</si>
  <si>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</si>
  <si>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</si>
  <si>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</si>
  <si>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</si>
  <si>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</si>
  <si>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</si>
  <si>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</si>
  <si>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</si>
  <si>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</si>
  <si>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</si>
  <si>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</si>
  <si>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</si>
  <si>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</si>
  <si>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</si>
  <si>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</si>
  <si>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</si>
  <si>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</si>
  <si>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</si>
  <si>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</si>
  <si>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</si>
  <si>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</si>
  <si>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</si>
  <si>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</si>
  <si>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</si>
  <si>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</si>
  <si>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</si>
  <si>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</si>
  <si>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</si>
  <si>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</si>
  <si>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</si>
  <si>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</si>
  <si>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</si>
  <si>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</si>
  <si>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</si>
  <si>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</si>
  <si>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</si>
  <si>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</si>
  <si>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</si>
  <si>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</si>
  <si>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</si>
  <si>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</si>
  <si>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</si>
  <si>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</si>
  <si>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</si>
  <si>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</si>
  <si>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</si>
  <si>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</si>
  <si>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</si>
  <si>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</si>
  <si>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</si>
  <si>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</si>
  <si>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</si>
  <si>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</si>
  <si>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</si>
  <si>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</si>
  <si>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</si>
  <si>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</si>
  <si>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</si>
  <si>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</si>
  <si>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</si>
  <si>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</si>
  <si>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</si>
  <si>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</si>
  <si>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</si>
  <si>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</si>
  <si>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</si>
  <si>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</si>
  <si>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</si>
  <si>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</si>
  <si>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</si>
  <si>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</si>
  <si>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</si>
  <si>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</si>
  <si>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</si>
  <si>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</si>
  <si>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</si>
  <si>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</si>
  <si>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</si>
  <si>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</si>
  <si>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</si>
  <si>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</si>
  <si>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</si>
  <si>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</si>
  <si>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</si>
  <si>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</si>
  <si>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</si>
  <si>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</si>
  <si>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</si>
  <si>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</si>
  <si>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</si>
  <si>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</si>
  <si>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</si>
  <si>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</si>
  <si>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</si>
  <si>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</si>
  <si>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</si>
  <si>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</si>
  <si>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</si>
  <si>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</si>
  <si>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</si>
  <si>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</si>
  <si>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</si>
  <si>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</si>
  <si>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</si>
  <si>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</si>
  <si>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</si>
  <si>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</si>
  <si>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</si>
  <si>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</si>
  <si>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</si>
  <si>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</si>
  <si>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</si>
  <si>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</si>
  <si>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</si>
  <si>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</si>
  <si>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</si>
  <si>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</si>
  <si>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</si>
  <si>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</si>
  <si>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</si>
  <si>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</si>
  <si>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</si>
  <si>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</si>
  <si>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</si>
  <si>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</si>
  <si>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</si>
  <si>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</si>
  <si>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</si>
  <si>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</si>
  <si>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</si>
  <si>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</si>
  <si>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</si>
  <si>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</si>
  <si>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</si>
  <si>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</si>
  <si>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</si>
  <si>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</si>
  <si>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</si>
  <si>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</si>
  <si>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</si>
  <si>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</si>
  <si>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</si>
  <si>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</si>
  <si>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</si>
  <si>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</si>
  <si>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</si>
  <si>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</si>
  <si>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</si>
  <si>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</si>
  <si>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</si>
  <si>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</si>
  <si>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</si>
  <si>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</si>
  <si>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</si>
  <si>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</si>
  <si>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</si>
  <si>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</si>
  <si>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</si>
  <si>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</si>
  <si>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</si>
  <si>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</si>
  <si>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</si>
  <si>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</si>
  <si>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</si>
  <si>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</si>
  <si>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</si>
  <si>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</si>
  <si>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</si>
  <si>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</si>
  <si>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</si>
  <si>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</si>
  <si>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</si>
  <si>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</si>
  <si>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</si>
  <si>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</si>
  <si>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</si>
  <si>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</si>
  <si>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</si>
  <si>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</si>
  <si>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</si>
  <si>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</si>
  <si>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</si>
  <si>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</si>
  <si>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</si>
  <si>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</si>
  <si>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</si>
  <si>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</si>
  <si>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</si>
  <si>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</si>
  <si>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</si>
  <si>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</si>
  <si>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</si>
  <si>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</si>
  <si>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</si>
  <si>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</si>
  <si>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</si>
  <si>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</si>
  <si>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</si>
  <si>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</si>
  <si>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</si>
  <si>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</si>
  <si>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</si>
  <si>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</si>
  <si>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</si>
  <si>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</si>
  <si>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</si>
  <si>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</si>
  <si>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</si>
  <si>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</si>
  <si>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</si>
  <si>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</si>
  <si>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</si>
  <si>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</si>
  <si>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</si>
  <si>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</si>
  <si>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</si>
  <si>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</si>
  <si>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</si>
  <si>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</si>
  <si>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</si>
  <si>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</si>
  <si>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</si>
  <si>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</si>
  <si>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</si>
  <si>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</si>
  <si>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</si>
  <si>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</si>
  <si>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</si>
  <si>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</si>
  <si>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</si>
  <si>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</si>
  <si>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</si>
  <si>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</si>
  <si>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</si>
  <si>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</si>
  <si>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</si>
  <si>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</si>
  <si>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</si>
  <si>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</si>
  <si>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</si>
  <si>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</si>
  <si>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</si>
  <si>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</si>
  <si>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</si>
  <si>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</si>
  <si>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</si>
  <si>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</si>
  <si>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</si>
  <si>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</si>
  <si>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</si>
  <si>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</si>
  <si>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</si>
  <si>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</si>
  <si>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</si>
  <si>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</si>
  <si>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</si>
  <si>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</si>
  <si>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</si>
  <si>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</si>
  <si>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</si>
  <si>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</si>
  <si>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</si>
  <si>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</si>
  <si>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</si>
  <si>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</si>
  <si>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</si>
  <si>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</si>
  <si>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</si>
  <si>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</si>
  <si>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</si>
  <si>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운영비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</si>
  <si>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</si>
  <si>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</si>
  <si>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</si>
  <si>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</si>
  <si>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</si>
  <si>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</si>
  <si>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</si>
  <si>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</si>
  <si>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</si>
  <si>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</si>
  <si>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</si>
  <si>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</si>
  <si>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</si>
  <si>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</si>
  <si>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</si>
  <si>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</si>
  <si>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</si>
  <si>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</si>
  <si>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</si>
  <si>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</si>
  <si>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</si>
  <si>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</si>
  <si>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</si>
  <si>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</si>
  <si>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</si>
  <si>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</si>
  <si>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</si>
  <si>
    <t>식비(졸업여행 중식)</t>
  </si>
  <si>
    <t>회의실 임차료(보증금 및 사용료)</t>
    <phoneticPr fontId="2" type="noConversion"/>
  </si>
  <si>
    <t>판교이노밸리6블럭관리단</t>
    <phoneticPr fontId="2" type="noConversion"/>
  </si>
  <si>
    <t>해물꾼조태산</t>
    <phoneticPr fontId="2" type="noConversion"/>
  </si>
  <si>
    <t>대관료</t>
  </si>
  <si>
    <t>이노비즈협회</t>
  </si>
  <si>
    <t>대관료(지하1층 대회의실, 5시간)</t>
    <phoneticPr fontId="2" type="noConversion"/>
  </si>
  <si>
    <t>대관료(7층 공용회의실, 9시간)</t>
    <phoneticPr fontId="2" type="noConversion"/>
  </si>
  <si>
    <t>주차비(관리비 정산)</t>
  </si>
  <si>
    <t>판교이노밸리6블럭관리단</t>
  </si>
  <si>
    <t>사이트관리비</t>
  </si>
  <si>
    <t>(주)슈빅</t>
  </si>
  <si>
    <t>이노비즈 차경 원우회 온라인 수첩 사이트 유지비(웹호스팅 1년)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</si>
</sst>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76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750000</v>
      </c>
      <c r="C46" s="35">
        <v>46190</v>
      </c>
      <c r="D46" s="34" t="s">
        <v>335</v>
      </c>
      <c r="E46" s="2" t="s">
        <v>306</v>
      </c>
      <c r="F46" s="34" t="s">
        <v>336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307</v>
      </c>
      <c r="E47" s="2" t="s">
        <v>293</v>
      </c>
      <c r="F47" s="34" t="s">
        <v>308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309</v>
      </c>
      <c r="E48" s="2" t="s">
        <v>296</v>
      </c>
      <c r="F48" s="34" t="s">
        <v>310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311</v>
      </c>
      <c r="E49" s="2" t="s">
        <v>303</v>
      </c>
      <c r="F49" s="34" t="s">
        <v>312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313</v>
      </c>
      <c r="E50" s="2" t="s">
        <v>300</v>
      </c>
      <c r="F50" s="34" t="s">
        <v>314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317</v>
      </c>
      <c r="E51" s="2" t="s">
        <v>318</v>
      </c>
      <c r="F51" s="34" t="s">
        <v>319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321</v>
      </c>
      <c r="E52" s="2" t="s">
        <v>293</v>
      </c>
      <c r="F52" s="34" t="s">
        <v>322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323</v>
      </c>
      <c r="E53" s="2" t="s">
        <v>296</v>
      </c>
      <c r="F53" s="34" t="s">
        <v>324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325</v>
      </c>
      <c r="E54" s="2" t="s">
        <v>326</v>
      </c>
      <c r="F54" s="34" t="s">
        <v>327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328</v>
      </c>
      <c r="E55" s="2" t="s">
        <v>303</v>
      </c>
      <c r="F55" s="34" t="s">
        <v>329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330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331</v>
      </c>
      <c r="E57" s="2" t="s">
        <v>300</v>
      </c>
      <c r="F57" s="34" t="s">
        <v>332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  <row r="59" spans="1:7">
      <c r="A59">
        <v>56</v>
      </c>
      <c r="B59" s="71">
        <v>274000</v>
      </c>
      <c r="C59" s="35">
        <v>46213</v>
      </c>
      <c r="D59" s="34" t="s">
        <v>334</v>
      </c>
      <c r="E59" s="2" t="s">
        <v>303</v>
      </c>
      <c r="F59" s="34" t="s">
        <v>337</v>
      </c>
      <c r="G59" s="2" t="s">
        <v>13</v>
      </c>
    </row>
    <row r="60" spans="1:7">
      <c r="A60">
        <v>57</v>
      </c>
      <c r="B60" s="71">
        <v>200000</v>
      </c>
      <c r="C60" s="35">
        <v>46149</v>
      </c>
      <c r="D60" s="34" t="s">
        <v>340</v>
      </c>
      <c r="E60" s="2" t="s">
        <v>338</v>
      </c>
      <c r="F60" s="34" t="s">
        <v>339</v>
      </c>
      <c r="G60" s="2" t="s">
        <v>29</v>
      </c>
    </row>
    <row r="61" spans="1:7">
      <c r="A61">
        <v>58</v>
      </c>
      <c r="B61" s="71">
        <v>90000</v>
      </c>
      <c r="C61" s="35">
        <v>46156</v>
      </c>
      <c r="D61" s="34" t="s">
        <v>341</v>
      </c>
      <c r="E61" s="2" t="s">
        <v>338</v>
      </c>
      <c r="F61" s="34" t="s">
        <v>339</v>
      </c>
      <c r="G61" s="2" t="s">
        <v>6</v>
      </c>
    </row>
    <row r="62" spans="1:7">
      <c r="A62">
        <v>59</v>
      </c>
      <c r="B62" s="71">
        <v>90000</v>
      </c>
      <c r="C62" s="35">
        <v>46163</v>
      </c>
      <c r="D62" s="34" t="s">
        <v>341</v>
      </c>
      <c r="E62" s="2" t="s">
        <v>338</v>
      </c>
      <c r="F62" s="34" t="s">
        <v>339</v>
      </c>
      <c r="G62" s="2" t="s">
        <v>4</v>
      </c>
    </row>
    <row r="63" spans="1:7">
      <c r="A63">
        <v>60</v>
      </c>
      <c r="B63" s="71">
        <v>90000</v>
      </c>
      <c r="C63" s="35">
        <v>46170</v>
      </c>
      <c r="D63" s="34" t="s">
        <v>341</v>
      </c>
      <c r="E63" s="2" t="s">
        <v>338</v>
      </c>
      <c r="F63" s="34" t="s">
        <v>339</v>
      </c>
      <c r="G63" s="2" t="s">
        <v>7</v>
      </c>
    </row>
    <row r="64" spans="1:7">
      <c r="A64">
        <v>61</v>
      </c>
      <c r="B64" s="71">
        <v>90000</v>
      </c>
      <c r="C64" s="35">
        <v>46184</v>
      </c>
      <c r="D64" s="34" t="s">
        <v>341</v>
      </c>
      <c r="E64" s="2" t="s">
        <v>338</v>
      </c>
      <c r="F64" s="34" t="s">
        <v>339</v>
      </c>
      <c r="G64" s="2" t="s">
        <v>9</v>
      </c>
    </row>
    <row r="65" spans="1:7">
      <c r="A65">
        <v>62</v>
      </c>
      <c r="B65" s="71">
        <v>90000</v>
      </c>
      <c r="C65" s="35">
        <v>46191</v>
      </c>
      <c r="D65" s="34" t="s">
        <v>341</v>
      </c>
      <c r="E65" s="2" t="s">
        <v>338</v>
      </c>
      <c r="F65" s="34" t="s">
        <v>339</v>
      </c>
      <c r="G65" s="2" t="s">
        <v>10</v>
      </c>
    </row>
    <row r="66" spans="1:7">
      <c r="A66">
        <v>63</v>
      </c>
      <c r="B66" s="71">
        <v>200000</v>
      </c>
      <c r="C66" s="35">
        <v>46219</v>
      </c>
      <c r="D66" s="34" t="s">
        <v>340</v>
      </c>
      <c r="E66" s="2" t="s">
        <v>338</v>
      </c>
      <c r="F66" s="34" t="s">
        <v>339</v>
      </c>
      <c r="G66" s="2" t="s">
        <v>14</v>
      </c>
    </row>
    <row r="67" spans="1:7">
      <c r="A67">
        <v>64</v>
      </c>
      <c r="B67" s="71">
        <v>333000</v>
      </c>
      <c r="C67" s="35">
        <v>46149</v>
      </c>
      <c r="D67" s="34" t="s">
        <v>342</v>
      </c>
      <c r="E67" s="2" t="s">
        <v>27</v>
      </c>
      <c r="F67" s="34" t="s">
        <v>343</v>
      </c>
      <c r="G67" s="2" t="s">
        <v>29</v>
      </c>
    </row>
    <row r="68" spans="1:7">
      <c r="A68">
        <v>65</v>
      </c>
      <c r="B68" s="71">
        <v>280000</v>
      </c>
      <c r="C68" s="35">
        <v>46156</v>
      </c>
      <c r="D68" s="34" t="s">
        <v>342</v>
      </c>
      <c r="E68" s="2" t="s">
        <v>27</v>
      </c>
      <c r="F68" s="34" t="s">
        <v>343</v>
      </c>
      <c r="G68" s="2" t="s">
        <v>6</v>
      </c>
    </row>
    <row r="69" spans="1:7">
      <c r="A69">
        <v>66</v>
      </c>
      <c r="B69" s="71">
        <v>96500</v>
      </c>
      <c r="C69" s="35">
        <v>46163</v>
      </c>
      <c r="D69" s="34" t="s">
        <v>342</v>
      </c>
      <c r="E69" s="2" t="s">
        <v>27</v>
      </c>
      <c r="F69" s="34" t="s">
        <v>343</v>
      </c>
      <c r="G69" s="2" t="s">
        <v>4</v>
      </c>
    </row>
    <row r="70" spans="1:7">
      <c r="A70">
        <v>67</v>
      </c>
      <c r="B70" s="71">
        <v>145500</v>
      </c>
      <c r="C70" s="35">
        <v>46170</v>
      </c>
      <c r="D70" s="34" t="s">
        <v>342</v>
      </c>
      <c r="E70" s="2" t="s">
        <v>27</v>
      </c>
      <c r="F70" s="34" t="s">
        <v>343</v>
      </c>
      <c r="G70" s="2" t="s">
        <v>7</v>
      </c>
    </row>
    <row r="71" spans="1:7">
      <c r="A71">
        <v>68</v>
      </c>
      <c r="B71" s="71">
        <v>132000</v>
      </c>
      <c r="C71" s="35">
        <v>46184</v>
      </c>
      <c r="D71" s="34" t="s">
        <v>342</v>
      </c>
      <c r="E71" s="2" t="s">
        <v>27</v>
      </c>
      <c r="F71" s="34" t="s">
        <v>343</v>
      </c>
      <c r="G71" s="2" t="s">
        <v>9</v>
      </c>
    </row>
    <row r="72" spans="1:7">
      <c r="A72">
        <v>69</v>
      </c>
      <c r="B72" s="71">
        <v>78000</v>
      </c>
      <c r="C72" s="35">
        <v>46191</v>
      </c>
      <c r="D72" s="34" t="s">
        <v>342</v>
      </c>
      <c r="E72" s="2" t="s">
        <v>27</v>
      </c>
      <c r="F72" s="34" t="s">
        <v>343</v>
      </c>
      <c r="G72" s="2" t="s">
        <v>10</v>
      </c>
    </row>
    <row r="73" spans="1:7">
      <c r="A73">
        <v>70</v>
      </c>
      <c r="B73" s="71">
        <v>55500</v>
      </c>
      <c r="C73" s="35">
        <v>46198</v>
      </c>
      <c r="D73" s="34" t="s">
        <v>342</v>
      </c>
      <c r="E73" s="2" t="s">
        <v>27</v>
      </c>
      <c r="F73" s="34" t="s">
        <v>343</v>
      </c>
      <c r="G73" s="2" t="s">
        <v>11</v>
      </c>
    </row>
    <row r="74" spans="1:7">
      <c r="A74">
        <v>71</v>
      </c>
      <c r="B74" s="71">
        <v>66000</v>
      </c>
      <c r="C74" s="35">
        <v>46205</v>
      </c>
      <c r="D74" s="34" t="s">
        <v>342</v>
      </c>
      <c r="E74" s="2" t="s">
        <v>27</v>
      </c>
      <c r="F74" s="34" t="s">
        <v>343</v>
      </c>
      <c r="G74" s="2" t="s">
        <v>12</v>
      </c>
    </row>
    <row r="75" spans="1:7">
      <c r="A75">
        <v>72</v>
      </c>
      <c r="B75" s="71">
        <v>380000</v>
      </c>
      <c r="C75" s="35">
        <v>46219</v>
      </c>
      <c r="D75" s="34" t="s">
        <v>342</v>
      </c>
      <c r="E75" s="2" t="s">
        <v>27</v>
      </c>
      <c r="F75" s="34" t="s">
        <v>343</v>
      </c>
      <c r="G75" s="2" t="s">
        <v>14</v>
      </c>
    </row>
    <row r="76" spans="1:7">
      <c r="A76">
        <v>73</v>
      </c>
      <c r="B76" s="71">
        <v>132000</v>
      </c>
      <c r="C76" s="35">
        <v>46240</v>
      </c>
      <c r="D76" s="34" t="s">
        <v>346</v>
      </c>
      <c r="E76" s="2" t="s">
        <v>344</v>
      </c>
      <c r="F76" s="34" t="s">
        <v>345</v>
      </c>
      <c r="G76" s="2" t="s">
        <v>14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315</v>
      </c>
      <c r="N1" s="45" t="s">
        <v>316</v>
      </c>
      <c r="O1" s="45" t="s">
        <v>333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 t="shared" ref="P2:P30" si="0">COUNTIF(E2:H2,"참석")+COUNTIF(J2:O2,"참석")</f>
        <v>10</v>
      </c>
      <c r="Q2" s="47">
        <f t="shared" ref="Q2:Q30" si="1">COUNTIF(E2:H2,"참석")+COUNTIF(E2:H2,"불참")+COUNTIF(J2:O2,"참석")+COUNTIF(J2:O2,"불참")</f>
        <v>10</v>
      </c>
      <c r="R2" s="49">
        <f t="shared" ref="R2:R30" si="2"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 t="shared" si="0"/>
        <v>10</v>
      </c>
      <c r="Q3" s="47">
        <f t="shared" si="1"/>
        <v>10</v>
      </c>
      <c r="R3" s="49">
        <f t="shared" si="2"/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 t="shared" si="0"/>
        <v>10</v>
      </c>
      <c r="Q4" s="47">
        <f t="shared" si="1"/>
        <v>10</v>
      </c>
      <c r="R4" s="49">
        <f t="shared" si="2"/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 t="shared" si="0"/>
        <v>10</v>
      </c>
      <c r="Q5" s="47">
        <f t="shared" si="1"/>
        <v>10</v>
      </c>
      <c r="R5" s="49">
        <f t="shared" si="2"/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 t="shared" si="0"/>
        <v>7</v>
      </c>
      <c r="Q6" s="47">
        <f t="shared" si="1"/>
        <v>10</v>
      </c>
      <c r="R6" s="49">
        <f t="shared" si="2"/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 t="shared" si="0"/>
        <v>10</v>
      </c>
      <c r="Q7" s="47">
        <f t="shared" si="1"/>
        <v>10</v>
      </c>
      <c r="R7" s="49">
        <f t="shared" si="2"/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 t="shared" si="0"/>
        <v>4</v>
      </c>
      <c r="Q8" s="47">
        <f t="shared" si="1"/>
        <v>10</v>
      </c>
      <c r="R8" s="49">
        <f t="shared" si="2"/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 t="shared" si="0"/>
        <v>6</v>
      </c>
      <c r="Q9" s="47">
        <f t="shared" si="1"/>
        <v>8</v>
      </c>
      <c r="R9" s="49">
        <f t="shared" si="2"/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 t="shared" si="0"/>
        <v>4</v>
      </c>
      <c r="Q10" s="47">
        <f t="shared" si="1"/>
        <v>10</v>
      </c>
      <c r="R10" s="49">
        <f t="shared" si="2"/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 t="shared" si="0"/>
        <v>3</v>
      </c>
      <c r="Q11" s="47">
        <f t="shared" si="1"/>
        <v>10</v>
      </c>
      <c r="R11" s="49">
        <f t="shared" si="2"/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 t="shared" si="0"/>
        <v>7</v>
      </c>
      <c r="Q12" s="47">
        <f t="shared" si="1"/>
        <v>10</v>
      </c>
      <c r="R12" s="49">
        <f t="shared" si="2"/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 t="shared" si="0"/>
        <v>3</v>
      </c>
      <c r="Q13" s="47">
        <f t="shared" si="1"/>
        <v>10</v>
      </c>
      <c r="R13" s="49">
        <f t="shared" si="2"/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 t="shared" si="0"/>
        <v>2</v>
      </c>
      <c r="Q14" s="47">
        <f t="shared" si="1"/>
        <v>10</v>
      </c>
      <c r="R14" s="49">
        <f t="shared" si="2"/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 t="shared" si="0"/>
        <v>8</v>
      </c>
      <c r="Q15" s="47">
        <f t="shared" si="1"/>
        <v>10</v>
      </c>
      <c r="R15" s="49">
        <f t="shared" si="2"/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 t="shared" si="0"/>
        <v>4</v>
      </c>
      <c r="Q16" s="47">
        <f t="shared" si="1"/>
        <v>10</v>
      </c>
      <c r="R16" s="49">
        <f t="shared" si="2"/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 t="shared" si="0"/>
        <v>8</v>
      </c>
      <c r="Q17" s="47">
        <f t="shared" si="1"/>
        <v>10</v>
      </c>
      <c r="R17" s="49">
        <f t="shared" si="2"/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320</v>
      </c>
      <c r="N18" s="47" t="s">
        <v>173</v>
      </c>
      <c r="O18" s="47" t="s">
        <v>173</v>
      </c>
      <c r="P18" s="47">
        <f t="shared" si="0"/>
        <v>4</v>
      </c>
      <c r="Q18" s="47">
        <f t="shared" si="1"/>
        <v>10</v>
      </c>
      <c r="R18" s="49">
        <f t="shared" si="2"/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 t="shared" si="0"/>
        <v>7</v>
      </c>
      <c r="Q19" s="47">
        <f t="shared" si="1"/>
        <v>7</v>
      </c>
      <c r="R19" s="49">
        <f t="shared" si="2"/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 t="shared" si="0"/>
        <v>5</v>
      </c>
      <c r="Q20" s="47">
        <f t="shared" si="1"/>
        <v>10</v>
      </c>
      <c r="R20" s="49">
        <f t="shared" si="2"/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 t="shared" si="0"/>
        <v>9</v>
      </c>
      <c r="Q21" s="47">
        <f t="shared" si="1"/>
        <v>10</v>
      </c>
      <c r="R21" s="49">
        <f t="shared" si="2"/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 t="shared" si="0"/>
        <v>4</v>
      </c>
      <c r="Q22" s="47">
        <f t="shared" si="1"/>
        <v>10</v>
      </c>
      <c r="R22" s="49">
        <f t="shared" si="2"/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 t="shared" si="0"/>
        <v>7</v>
      </c>
      <c r="Q23" s="47">
        <f t="shared" si="1"/>
        <v>10</v>
      </c>
      <c r="R23" s="49">
        <f t="shared" si="2"/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 t="shared" si="0"/>
        <v>4</v>
      </c>
      <c r="Q24" s="47">
        <f t="shared" si="1"/>
        <v>10</v>
      </c>
      <c r="R24" s="49">
        <f t="shared" si="2"/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 t="shared" si="0"/>
        <v>10</v>
      </c>
      <c r="Q25" s="47">
        <f t="shared" si="1"/>
        <v>10</v>
      </c>
      <c r="R25" s="49">
        <f t="shared" si="2"/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 t="shared" si="0"/>
        <v>1</v>
      </c>
      <c r="Q26" s="47">
        <f t="shared" si="1"/>
        <v>10</v>
      </c>
      <c r="R26" s="49">
        <f t="shared" si="2"/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 t="shared" si="0"/>
        <v>8</v>
      </c>
      <c r="Q27" s="47">
        <f t="shared" si="1"/>
        <v>10</v>
      </c>
      <c r="R27" s="49">
        <f t="shared" si="2"/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 t="shared" si="0"/>
        <v>10</v>
      </c>
      <c r="Q28" s="47">
        <f t="shared" si="1"/>
        <v>10</v>
      </c>
      <c r="R28" s="49">
        <f t="shared" si="2"/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 t="shared" si="0"/>
        <v>3</v>
      </c>
      <c r="Q29" s="47">
        <f t="shared" si="1"/>
        <v>10</v>
      </c>
      <c r="R29" s="49">
        <f t="shared" si="2"/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 t="shared" si="0"/>
        <v>1</v>
      </c>
      <c r="Q30" s="47">
        <f t="shared" si="1"/>
        <v>10</v>
      </c>
      <c r="R30" s="49">
        <f t="shared" si="2"/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3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2026-08-10T00:30:06Z</dcterms:modified>
</cp:coreProperties>
</file>