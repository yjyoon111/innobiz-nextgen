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02B8E31D-FF2F-4952-9C35-51E591C639DA}" xr6:coauthVersionLast="47" xr6:coauthVersionMax="47" xr10:uidLastSave="{00000000-0000-0000-0000-000000000000}"/>
  <bookViews>
    <workbookView xWindow="-12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출석현황'!$A$1:$S$31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0" i="14" l="1"/>
  <c r="Q30" i="14"/>
  <c r="P30" i="14"/>
  <c r="R29" i="14"/>
  <c r="Q29" i="14"/>
  <c r="P29" i="14"/>
  <c r="R28" i="14"/>
  <c r="Q28" i="14"/>
  <c r="P28" i="14"/>
  <c r="R27" i="14"/>
  <c r="Q27" i="14"/>
  <c r="P27" i="14"/>
  <c r="R26" i="14"/>
  <c r="Q26" i="14"/>
  <c r="P26" i="14"/>
  <c r="R25" i="14"/>
  <c r="Q25" i="14"/>
  <c r="P25" i="14"/>
  <c r="R24" i="14"/>
  <c r="Q24" i="14"/>
  <c r="P24" i="14"/>
  <c r="R23" i="14"/>
  <c r="Q23" i="14"/>
  <c r="P23" i="14"/>
  <c r="R22" i="14"/>
  <c r="Q22" i="14"/>
  <c r="P22" i="14"/>
  <c r="R21" i="14"/>
  <c r="Q21" i="14"/>
  <c r="P21" i="14"/>
  <c r="R20" i="14"/>
  <c r="Q20" i="14"/>
  <c r="P20" i="14"/>
  <c r="R19" i="14"/>
  <c r="Q19" i="14"/>
  <c r="P19" i="14"/>
  <c r="R18" i="14"/>
  <c r="Q18" i="14"/>
  <c r="P18" i="14"/>
  <c r="R17" i="14"/>
  <c r="Q17" i="14"/>
  <c r="P17" i="14"/>
  <c r="R16" i="14"/>
  <c r="Q16" i="14"/>
  <c r="P16" i="14"/>
  <c r="R15" i="14"/>
  <c r="Q15" i="14"/>
  <c r="P15" i="14"/>
  <c r="R14" i="14"/>
  <c r="Q14" i="14"/>
  <c r="P14" i="14"/>
  <c r="R13" i="14"/>
  <c r="Q13" i="14"/>
  <c r="P13" i="14"/>
  <c r="R12" i="14"/>
  <c r="Q12" i="14"/>
  <c r="P12" i="14"/>
  <c r="R11" i="14"/>
  <c r="Q11" i="14"/>
  <c r="P11" i="14"/>
  <c r="R10" i="14"/>
  <c r="Q10" i="14"/>
  <c r="P10" i="14"/>
  <c r="R9" i="14"/>
  <c r="Q9" i="14"/>
  <c r="P9" i="14"/>
  <c r="R8" i="14"/>
  <c r="Q8" i="14"/>
  <c r="P8" i="14"/>
  <c r="R7" i="14"/>
  <c r="Q7" i="14"/>
  <c r="P7" i="14"/>
  <c r="R6" i="14"/>
  <c r="Q6" i="14"/>
  <c r="P6" i="14"/>
  <c r="R5" i="14"/>
  <c r="Q5" i="14"/>
  <c r="P5" i="14"/>
  <c r="R4" i="14"/>
  <c r="Q4" i="14"/>
  <c r="P4" i="14"/>
  <c r="R3" i="14"/>
  <c r="Q3" i="14"/>
  <c r="P3" i="14"/>
  <c r="R2" i="14"/>
  <c r="Q2" i="14"/>
  <c r="P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R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<sst xmlns="http://schemas.openxmlformats.org/spreadsheetml/2006/main" count="836" uniqueCount="338">
  <si>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</si>
  <si>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</si>
  <si>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</si>
  <si>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</si>
  <si>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</si>
  <si>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</si>
  <si>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</si>
  <si>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</si>
  <si>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</si>
  <si>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</si>
  <si>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</si>
  <si>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</si>
  <si>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</si>
  <si>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</si>
  <si>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</si>
  <si>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</si>
  <si>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</si>
  <si>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</si>
  <si>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</si>
  <si>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</si>
  <si>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</si>
  <si>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</si>
  <si>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</si>
  <si>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</si>
  <si>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</si>
  <si>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</si>
  <si>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</si>
  <si>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</si>
  <si>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</si>
  <si>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</si>
  <si>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</si>
  <si>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</si>
  <si>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</si>
  <si>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</si>
  <si>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</si>
  <si>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</si>
  <si>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</si>
  <si>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</si>
  <si>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</si>
  <si>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</si>
  <si>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</si>
  <si>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</si>
  <si>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</si>
  <si>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</si>
  <si>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</si>
  <si>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</si>
  <si>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</si>
  <si>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</si>
  <si>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</si>
  <si>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</si>
  <si>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</si>
  <si>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</si>
  <si>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</si>
  <si>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</si>
  <si>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</si>
  <si>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</si>
  <si>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</si>
  <si>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</si>
  <si>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</si>
  <si>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</si>
  <si>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</si>
  <si>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</si>
  <si>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</si>
  <si>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</si>
  <si>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</si>
  <si>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</si>
  <si>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</si>
  <si>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</si>
  <si>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</si>
  <si>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</si>
  <si>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</si>
  <si>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</si>
  <si>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</si>
  <si>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</si>
  <si>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</si>
  <si>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</si>
  <si>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</si>
  <si>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</si>
  <si>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</si>
  <si>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</si>
  <si>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</si>
  <si>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</si>
  <si>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</si>
  <si>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</si>
  <si>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</si>
  <si>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</si>
  <si>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</si>
  <si>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</si>
  <si>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</si>
  <si>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</si>
  <si>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</si>
  <si>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</si>
  <si>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</si>
  <si>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</si>
  <si>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</si>
  <si>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</si>
  <si>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</si>
  <si>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</si>
  <si>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</si>
  <si>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</si>
  <si>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</si>
  <si>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</si>
  <si>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</si>
  <si>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</si>
  <si>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</si>
  <si>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</si>
  <si>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</si>
  <si>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</si>
  <si>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</si>
  <si>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</si>
  <si>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</si>
  <si>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</si>
  <si>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</si>
  <si>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</si>
  <si>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</si>
  <si>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</si>
  <si>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</si>
  <si>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</si>
  <si>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</si>
  <si>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</si>
  <si>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</si>
  <si>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</si>
  <si>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</si>
  <si>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</si>
  <si>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</si>
  <si>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</si>
  <si>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</si>
  <si>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</si>
  <si>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</si>
  <si>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</si>
  <si>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</si>
  <si>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</si>
  <si>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</si>
  <si>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</si>
  <si>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</si>
  <si>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</si>
  <si>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</si>
  <si>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</si>
  <si>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</si>
  <si>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</si>
  <si>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</si>
  <si>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</si>
  <si>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</si>
  <si>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</si>
  <si>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</si>
  <si>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</si>
  <si>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</si>
  <si>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</si>
  <si>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</si>
  <si>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</si>
  <si>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</si>
  <si>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</si>
  <si>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</si>
  <si>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</si>
  <si>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</si>
  <si>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</si>
  <si>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</si>
  <si>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</si>
  <si>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</si>
  <si>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</si>
  <si>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</si>
  <si>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</si>
  <si>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</si>
  <si>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</si>
  <si>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</si>
  <si>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</si>
  <si>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</si>
  <si>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</si>
  <si>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</si>
  <si>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</si>
  <si>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</si>
  <si>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</si>
  <si>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</si>
  <si>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</si>
  <si>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</si>
  <si>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</si>
  <si>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</si>
  <si>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</si>
  <si>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</si>
  <si>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</si>
  <si>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</si>
  <si>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</si>
  <si>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</si>
  <si>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</si>
  <si>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</si>
  <si>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</si>
  <si>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</si>
  <si>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</si>
  <si>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</si>
  <si>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</si>
  <si>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</si>
  <si>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</si>
  <si>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</si>
  <si>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</si>
  <si>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</si>
  <si>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</si>
  <si>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</si>
  <si>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</si>
  <si>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</si>
  <si>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</si>
  <si>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</si>
  <si>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</si>
  <si>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</si>
  <si>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</si>
  <si>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</si>
  <si>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</si>
  <si>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</si>
  <si>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</si>
  <si>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</si>
  <si>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</si>
  <si>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</si>
  <si>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</si>
  <si>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</si>
  <si>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</si>
  <si>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</si>
  <si>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</si>
  <si>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</si>
  <si>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</si>
  <si>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</si>
  <si>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</si>
  <si>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</si>
  <si>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</si>
  <si>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</si>
  <si>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</si>
  <si>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</si>
  <si>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</si>
  <si>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</si>
  <si>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</si>
  <si>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</si>
  <si>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</si>
  <si>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</si>
  <si>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</si>
  <si>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</si>
  <si>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</si>
  <si>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</si>
  <si>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</si>
  <si>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</si>
  <si>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</si>
  <si>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</si>
  <si>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</si>
  <si>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</si>
  <si>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</si>
  <si>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</si>
  <si>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</si>
  <si>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</si>
  <si>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</si>
  <si>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</si>
  <si>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</si>
  <si>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</si>
  <si>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</si>
  <si>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</si>
  <si>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</si>
  <si>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</si>
  <si>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</si>
  <si>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</si>
  <si>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</si>
  <si>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</si>
  <si>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</si>
  <si>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</si>
  <si>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</si>
  <si>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</si>
  <si>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</si>
  <si>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</si>
  <si>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</si>
  <si>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</si>
  <si>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</si>
  <si>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</si>
  <si>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</si>
  <si>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</si>
  <si>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</si>
  <si>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</si>
  <si>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</si>
  <si>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</si>
  <si>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</si>
  <si>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</si>
  <si>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</si>
  <si>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</si>
  <si>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</si>
  <si>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</si>
  <si>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</si>
  <si>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</si>
  <si>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</si>
  <si>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</si>
  <si>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</si>
  <si>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</si>
  <si>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</si>
  <si>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</si>
  <si>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</si>
  <si>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</si>
  <si>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</si>
  <si>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</si>
  <si>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</si>
  <si>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</si>
  <si>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</si>
  <si>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</si>
  <si>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</si>
  <si>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</si>
  <si>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</si>
  <si>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</si>
  <si>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</si>
  <si>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</si>
  <si>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</si>
  <si>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</si>
  <si>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</si>
  <si>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</si>
  <si>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</si>
  <si>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운영비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</si>
  <si>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</si>
  <si>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</si>
  <si>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</si>
  <si>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</si>
  <si>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</si>
  <si>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</si>
  <si>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</si>
  <si>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</si>
  <si>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</si>
  <si>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</si>
  <si>
    <t>상하이 전시회(NEPCON,SIA) 운영 용역 잔금 30%</t>
  </si>
  <si>
    <t>해외전시</t>
  </si>
  <si>
    <t>(주)인터메세항공</t>
  </si>
  <si>
    <t>참석</t>
    <phoneticPr fontId="2" type="noConversion"/>
  </si>
  <si>
    <t>강사비(김대식)</t>
  </si>
  <si>
    <t>스타잇</t>
  </si>
  <si>
    <t>진행비(김은정)</t>
  </si>
  <si>
    <t>김은정</t>
  </si>
  <si>
    <t>수료식 기념품(선물세트 60개)</t>
  </si>
  <si>
    <t>기념품</t>
  </si>
  <si>
    <t>(주)파르팜</t>
  </si>
  <si>
    <t>식비(삼겹살두루치기)</t>
  </si>
  <si>
    <t>삼겹살두루치기</t>
  </si>
  <si>
    <t>수료식 현수막, 수료증 인쇄</t>
  </si>
  <si>
    <t>다과비(카페두레브)</t>
  </si>
  <si>
    <t>카페두레브</t>
  </si>
  <si>
    <t>11주(2026-07-16, 수료식)</t>
  </si>
  <si>
    <t>식비(졸업여행 중식)</t>
  </si>
  <si>
    <t>회의실 임차료(보증금 및 사용료)</t>
    <phoneticPr fontId="2" type="noConversion"/>
  </si>
  <si>
    <t>판교이노밸리6블럭관리단</t>
    <phoneticPr fontId="2" type="noConversion"/>
  </si>
  <si>
    <t>해물꾼조태산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</si>
</sst>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59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750000</v>
      </c>
      <c r="C46" s="35">
        <v>46190</v>
      </c>
      <c r="D46" s="34" t="s">
        <v>335</v>
      </c>
      <c r="E46" s="2" t="s">
        <v>306</v>
      </c>
      <c r="F46" s="34" t="s">
        <v>336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307</v>
      </c>
      <c r="E47" s="2" t="s">
        <v>293</v>
      </c>
      <c r="F47" s="34" t="s">
        <v>308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309</v>
      </c>
      <c r="E48" s="2" t="s">
        <v>296</v>
      </c>
      <c r="F48" s="34" t="s">
        <v>310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311</v>
      </c>
      <c r="E49" s="2" t="s">
        <v>303</v>
      </c>
      <c r="F49" s="34" t="s">
        <v>312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313</v>
      </c>
      <c r="E50" s="2" t="s">
        <v>300</v>
      </c>
      <c r="F50" s="34" t="s">
        <v>314</v>
      </c>
      <c r="G50" s="2" t="s">
        <v>12</v>
      </c>
    </row>
    <row r="51" spans="1:7">
      <c r="A51">
        <v>48</v>
      </c>
      <c r="B51" s="71">
        <v>5472080</v>
      </c>
      <c r="C51" s="35">
        <v>46209</v>
      </c>
      <c r="D51" s="34" t="s">
        <v>317</v>
      </c>
      <c r="E51" s="2" t="s">
        <v>318</v>
      </c>
      <c r="F51" s="34" t="s">
        <v>319</v>
      </c>
      <c r="G51" s="2" t="s">
        <v>8</v>
      </c>
    </row>
    <row r="52" spans="1:7">
      <c r="A52">
        <v>49</v>
      </c>
      <c r="B52" s="71">
        <v>3300000</v>
      </c>
      <c r="C52" s="35">
        <v>46219</v>
      </c>
      <c r="D52" s="34" t="s">
        <v>321</v>
      </c>
      <c r="E52" s="2" t="s">
        <v>293</v>
      </c>
      <c r="F52" s="34" t="s">
        <v>322</v>
      </c>
      <c r="G52" s="2" t="s">
        <v>14</v>
      </c>
    </row>
    <row r="53" spans="1:7">
      <c r="A53">
        <v>50</v>
      </c>
      <c r="B53" s="71">
        <v>500000</v>
      </c>
      <c r="C53" s="35">
        <v>46219</v>
      </c>
      <c r="D53" s="34" t="s">
        <v>323</v>
      </c>
      <c r="E53" s="2" t="s">
        <v>296</v>
      </c>
      <c r="F53" s="34" t="s">
        <v>324</v>
      </c>
      <c r="G53" s="2" t="s">
        <v>14</v>
      </c>
    </row>
    <row r="54" spans="1:7">
      <c r="A54">
        <v>51</v>
      </c>
      <c r="B54" s="71">
        <v>2310000</v>
      </c>
      <c r="C54" s="35">
        <v>46219</v>
      </c>
      <c r="D54" s="34" t="s">
        <v>325</v>
      </c>
      <c r="E54" s="2" t="s">
        <v>326</v>
      </c>
      <c r="F54" s="34" t="s">
        <v>327</v>
      </c>
      <c r="G54" s="2" t="s">
        <v>14</v>
      </c>
    </row>
    <row r="55" spans="1:7">
      <c r="A55">
        <v>52</v>
      </c>
      <c r="B55" s="71">
        <v>932000</v>
      </c>
      <c r="C55" s="35">
        <v>46219</v>
      </c>
      <c r="D55" s="34" t="s">
        <v>328</v>
      </c>
      <c r="E55" s="2" t="s">
        <v>303</v>
      </c>
      <c r="F55" s="34" t="s">
        <v>329</v>
      </c>
      <c r="G55" s="2" t="s">
        <v>14</v>
      </c>
    </row>
    <row r="56" spans="1:7">
      <c r="A56">
        <v>53</v>
      </c>
      <c r="B56" s="71">
        <v>467500</v>
      </c>
      <c r="C56" s="35">
        <v>46223</v>
      </c>
      <c r="D56" s="34" t="s">
        <v>330</v>
      </c>
      <c r="E56" s="2" t="s">
        <v>24</v>
      </c>
      <c r="F56" s="34" t="s">
        <v>299</v>
      </c>
      <c r="G56" s="2" t="s">
        <v>14</v>
      </c>
    </row>
    <row r="57" spans="1:7">
      <c r="A57">
        <v>54</v>
      </c>
      <c r="B57" s="71">
        <v>200700</v>
      </c>
      <c r="C57" s="35">
        <v>46217</v>
      </c>
      <c r="D57" s="34" t="s">
        <v>331</v>
      </c>
      <c r="E57" s="2" t="s">
        <v>300</v>
      </c>
      <c r="F57" s="34" t="s">
        <v>332</v>
      </c>
      <c r="G57" s="2" t="s">
        <v>14</v>
      </c>
    </row>
    <row r="58" spans="1:7">
      <c r="A58">
        <v>55</v>
      </c>
      <c r="B58" s="71">
        <v>160400</v>
      </c>
      <c r="C58" s="35">
        <v>46219</v>
      </c>
      <c r="D58" s="34" t="s">
        <v>300</v>
      </c>
      <c r="E58" s="2" t="s">
        <v>300</v>
      </c>
      <c r="F58" s="34" t="s">
        <v>301</v>
      </c>
      <c r="G58" s="2" t="s">
        <v>14</v>
      </c>
    </row>
    <row r="59" spans="1:7">
      <c r="A59">
        <v>56</v>
      </c>
      <c r="B59" s="71">
        <v>274000</v>
      </c>
      <c r="C59" s="35">
        <v>46213</v>
      </c>
      <c r="D59" s="34" t="s">
        <v>334</v>
      </c>
      <c r="E59" s="2" t="s">
        <v>303</v>
      </c>
      <c r="F59" s="34" t="s">
        <v>337</v>
      </c>
      <c r="G59" s="2" t="s">
        <v>13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S31"/>
  <sheetViews>
    <sheetView topLeftCell="H1" workbookViewId="0">
      <selection activeCell="O1" sqref="O1:O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5" width="16" style="46" customWidth="1"/>
    <col min="16" max="17" width="12" style="46" customWidth="1"/>
    <col min="18" max="18" width="10" style="46" customWidth="1"/>
    <col min="19" max="19" width="30" style="46" customWidth="1"/>
    <col min="20" max="16384" width="9" style="46"/>
  </cols>
  <sheetData>
    <row r="1" spans="1:19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315</v>
      </c>
      <c r="N1" s="45" t="s">
        <v>316</v>
      </c>
      <c r="O1" s="45" t="s">
        <v>333</v>
      </c>
      <c r="P1" s="45" t="s">
        <v>156</v>
      </c>
      <c r="Q1" s="45" t="s">
        <v>157</v>
      </c>
      <c r="R1" s="45" t="s">
        <v>158</v>
      </c>
      <c r="S1" s="45" t="s">
        <v>159</v>
      </c>
    </row>
    <row r="2" spans="1:19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 t="s">
        <v>234</v>
      </c>
      <c r="P2" s="47">
        <f t="shared" ref="P2:P30" si="0">COUNTIF(E2:H2,"참석")+COUNTIF(J2:O2,"참석")</f>
        <v>10</v>
      </c>
      <c r="Q2" s="47">
        <f t="shared" ref="Q2:Q30" si="1">COUNTIF(E2:H2,"참석")+COUNTIF(E2:H2,"불참")+COUNTIF(J2:O2,"참석")+COUNTIF(J2:O2,"불참")</f>
        <v>10</v>
      </c>
      <c r="R2" s="49">
        <f t="shared" ref="R2:R30" si="2">IF(Q2=0,"",P2/Q2)</f>
        <v>1</v>
      </c>
      <c r="S2" s="48"/>
    </row>
    <row r="3" spans="1:19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 t="s">
        <v>234</v>
      </c>
      <c r="P3" s="47">
        <f t="shared" si="0"/>
        <v>10</v>
      </c>
      <c r="Q3" s="47">
        <f t="shared" si="1"/>
        <v>10</v>
      </c>
      <c r="R3" s="49">
        <f t="shared" si="2"/>
        <v>1</v>
      </c>
      <c r="S3" s="48"/>
    </row>
    <row r="4" spans="1:19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 t="s">
        <v>234</v>
      </c>
      <c r="P4" s="47">
        <f t="shared" si="0"/>
        <v>10</v>
      </c>
      <c r="Q4" s="47">
        <f t="shared" si="1"/>
        <v>10</v>
      </c>
      <c r="R4" s="49">
        <f t="shared" si="2"/>
        <v>1</v>
      </c>
      <c r="S4" s="48"/>
    </row>
    <row r="5" spans="1:19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 t="s">
        <v>234</v>
      </c>
      <c r="P5" s="47">
        <f t="shared" si="0"/>
        <v>10</v>
      </c>
      <c r="Q5" s="47">
        <f t="shared" si="1"/>
        <v>10</v>
      </c>
      <c r="R5" s="49">
        <f t="shared" si="2"/>
        <v>1</v>
      </c>
      <c r="S5" s="48"/>
    </row>
    <row r="6" spans="1:19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 t="s">
        <v>234</v>
      </c>
      <c r="P6" s="47">
        <f t="shared" si="0"/>
        <v>7</v>
      </c>
      <c r="Q6" s="47">
        <f t="shared" si="1"/>
        <v>10</v>
      </c>
      <c r="R6" s="49">
        <f t="shared" si="2"/>
        <v>0.7</v>
      </c>
      <c r="S6" s="48"/>
    </row>
    <row r="7" spans="1:19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 t="s">
        <v>234</v>
      </c>
      <c r="P7" s="47">
        <f t="shared" si="0"/>
        <v>10</v>
      </c>
      <c r="Q7" s="47">
        <f t="shared" si="1"/>
        <v>10</v>
      </c>
      <c r="R7" s="49">
        <f t="shared" si="2"/>
        <v>1</v>
      </c>
      <c r="S7" s="48"/>
    </row>
    <row r="8" spans="1:19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 t="s">
        <v>173</v>
      </c>
      <c r="P8" s="47">
        <f t="shared" si="0"/>
        <v>4</v>
      </c>
      <c r="Q8" s="47">
        <f t="shared" si="1"/>
        <v>10</v>
      </c>
      <c r="R8" s="49">
        <f t="shared" si="2"/>
        <v>0.4</v>
      </c>
      <c r="S8" s="48"/>
    </row>
    <row r="9" spans="1:19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 t="s">
        <v>234</v>
      </c>
      <c r="P9" s="47">
        <f t="shared" si="0"/>
        <v>6</v>
      </c>
      <c r="Q9" s="47">
        <f t="shared" si="1"/>
        <v>8</v>
      </c>
      <c r="R9" s="49">
        <f t="shared" si="2"/>
        <v>0.75</v>
      </c>
      <c r="S9" s="48" t="s">
        <v>240</v>
      </c>
    </row>
    <row r="10" spans="1:19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 t="s">
        <v>173</v>
      </c>
      <c r="P10" s="47">
        <f t="shared" si="0"/>
        <v>4</v>
      </c>
      <c r="Q10" s="47">
        <f t="shared" si="1"/>
        <v>10</v>
      </c>
      <c r="R10" s="49">
        <f t="shared" si="2"/>
        <v>0.4</v>
      </c>
      <c r="S10" s="48"/>
    </row>
    <row r="11" spans="1:19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 t="s">
        <v>173</v>
      </c>
      <c r="P11" s="47">
        <f t="shared" si="0"/>
        <v>3</v>
      </c>
      <c r="Q11" s="47">
        <f t="shared" si="1"/>
        <v>10</v>
      </c>
      <c r="R11" s="49">
        <f t="shared" si="2"/>
        <v>0.3</v>
      </c>
      <c r="S11" s="48"/>
    </row>
    <row r="12" spans="1:19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 t="s">
        <v>234</v>
      </c>
      <c r="P12" s="47">
        <f t="shared" si="0"/>
        <v>7</v>
      </c>
      <c r="Q12" s="47">
        <f t="shared" si="1"/>
        <v>10</v>
      </c>
      <c r="R12" s="49">
        <f t="shared" si="2"/>
        <v>0.7</v>
      </c>
      <c r="S12" s="48"/>
    </row>
    <row r="13" spans="1:19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 t="s">
        <v>234</v>
      </c>
      <c r="P13" s="47">
        <f t="shared" si="0"/>
        <v>3</v>
      </c>
      <c r="Q13" s="47">
        <f t="shared" si="1"/>
        <v>10</v>
      </c>
      <c r="R13" s="49">
        <f t="shared" si="2"/>
        <v>0.3</v>
      </c>
      <c r="S13" s="48"/>
    </row>
    <row r="14" spans="1:19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 t="s">
        <v>173</v>
      </c>
      <c r="P14" s="47">
        <f t="shared" si="0"/>
        <v>2</v>
      </c>
      <c r="Q14" s="47">
        <f t="shared" si="1"/>
        <v>10</v>
      </c>
      <c r="R14" s="49">
        <f t="shared" si="2"/>
        <v>0.2</v>
      </c>
      <c r="S14" s="48"/>
    </row>
    <row r="15" spans="1:19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 t="s">
        <v>234</v>
      </c>
      <c r="P15" s="47">
        <f t="shared" si="0"/>
        <v>8</v>
      </c>
      <c r="Q15" s="47">
        <f t="shared" si="1"/>
        <v>10</v>
      </c>
      <c r="R15" s="49">
        <f t="shared" si="2"/>
        <v>0.8</v>
      </c>
      <c r="S15" s="48"/>
    </row>
    <row r="16" spans="1:19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 t="s">
        <v>173</v>
      </c>
      <c r="P16" s="47">
        <f t="shared" si="0"/>
        <v>4</v>
      </c>
      <c r="Q16" s="47">
        <f t="shared" si="1"/>
        <v>10</v>
      </c>
      <c r="R16" s="49">
        <f t="shared" si="2"/>
        <v>0.4</v>
      </c>
    </row>
    <row r="17" spans="1:19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 t="s">
        <v>234</v>
      </c>
      <c r="P17" s="47">
        <f t="shared" si="0"/>
        <v>8</v>
      </c>
      <c r="Q17" s="47">
        <f t="shared" si="1"/>
        <v>10</v>
      </c>
      <c r="R17" s="49">
        <f t="shared" si="2"/>
        <v>0.8</v>
      </c>
    </row>
    <row r="18" spans="1:19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320</v>
      </c>
      <c r="N18" s="47" t="s">
        <v>173</v>
      </c>
      <c r="O18" s="47" t="s">
        <v>173</v>
      </c>
      <c r="P18" s="47">
        <f t="shared" si="0"/>
        <v>4</v>
      </c>
      <c r="Q18" s="47">
        <f t="shared" si="1"/>
        <v>10</v>
      </c>
      <c r="R18" s="49">
        <f t="shared" si="2"/>
        <v>0.4</v>
      </c>
    </row>
    <row r="19" spans="1:19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 t="s">
        <v>234</v>
      </c>
      <c r="P19" s="47">
        <f t="shared" si="0"/>
        <v>7</v>
      </c>
      <c r="Q19" s="47">
        <f t="shared" si="1"/>
        <v>7</v>
      </c>
      <c r="R19" s="49">
        <f t="shared" si="2"/>
        <v>1</v>
      </c>
      <c r="S19" s="46" t="s">
        <v>239</v>
      </c>
    </row>
    <row r="20" spans="1:19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 t="s">
        <v>173</v>
      </c>
      <c r="P20" s="47">
        <f t="shared" si="0"/>
        <v>5</v>
      </c>
      <c r="Q20" s="47">
        <f t="shared" si="1"/>
        <v>10</v>
      </c>
      <c r="R20" s="49">
        <f t="shared" si="2"/>
        <v>0.5</v>
      </c>
    </row>
    <row r="21" spans="1:19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 t="s">
        <v>234</v>
      </c>
      <c r="P21" s="47">
        <f t="shared" si="0"/>
        <v>9</v>
      </c>
      <c r="Q21" s="47">
        <f t="shared" si="1"/>
        <v>10</v>
      </c>
      <c r="R21" s="49">
        <f t="shared" si="2"/>
        <v>0.9</v>
      </c>
    </row>
    <row r="22" spans="1:19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 t="s">
        <v>234</v>
      </c>
      <c r="P22" s="47">
        <f t="shared" si="0"/>
        <v>4</v>
      </c>
      <c r="Q22" s="47">
        <f t="shared" si="1"/>
        <v>10</v>
      </c>
      <c r="R22" s="49">
        <f t="shared" si="2"/>
        <v>0.4</v>
      </c>
    </row>
    <row r="23" spans="1:19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 t="s">
        <v>234</v>
      </c>
      <c r="P23" s="47">
        <f t="shared" si="0"/>
        <v>7</v>
      </c>
      <c r="Q23" s="47">
        <f t="shared" si="1"/>
        <v>10</v>
      </c>
      <c r="R23" s="49">
        <f t="shared" si="2"/>
        <v>0.7</v>
      </c>
    </row>
    <row r="24" spans="1:19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 t="s">
        <v>234</v>
      </c>
      <c r="P24" s="47">
        <f t="shared" si="0"/>
        <v>4</v>
      </c>
      <c r="Q24" s="47">
        <f t="shared" si="1"/>
        <v>10</v>
      </c>
      <c r="R24" s="49">
        <f t="shared" si="2"/>
        <v>0.4</v>
      </c>
    </row>
    <row r="25" spans="1:19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 t="s">
        <v>234</v>
      </c>
      <c r="P25" s="47">
        <f t="shared" si="0"/>
        <v>10</v>
      </c>
      <c r="Q25" s="47">
        <f t="shared" si="1"/>
        <v>10</v>
      </c>
      <c r="R25" s="49">
        <f t="shared" si="2"/>
        <v>1</v>
      </c>
    </row>
    <row r="26" spans="1:19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 t="s">
        <v>173</v>
      </c>
      <c r="P26" s="47">
        <f t="shared" si="0"/>
        <v>1</v>
      </c>
      <c r="Q26" s="47">
        <f t="shared" si="1"/>
        <v>10</v>
      </c>
      <c r="R26" s="49">
        <f t="shared" si="2"/>
        <v>0.1</v>
      </c>
    </row>
    <row r="27" spans="1:19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 t="s">
        <v>234</v>
      </c>
      <c r="P27" s="47">
        <f t="shared" si="0"/>
        <v>8</v>
      </c>
      <c r="Q27" s="47">
        <f t="shared" si="1"/>
        <v>10</v>
      </c>
      <c r="R27" s="49">
        <f t="shared" si="2"/>
        <v>0.8</v>
      </c>
    </row>
    <row r="28" spans="1:19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 t="s">
        <v>234</v>
      </c>
      <c r="P28" s="47">
        <f t="shared" si="0"/>
        <v>10</v>
      </c>
      <c r="Q28" s="47">
        <f t="shared" si="1"/>
        <v>10</v>
      </c>
      <c r="R28" s="49">
        <f t="shared" si="2"/>
        <v>1</v>
      </c>
    </row>
    <row r="29" spans="1:19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 t="s">
        <v>173</v>
      </c>
      <c r="P29" s="47">
        <f t="shared" si="0"/>
        <v>3</v>
      </c>
      <c r="Q29" s="47">
        <f t="shared" si="1"/>
        <v>10</v>
      </c>
      <c r="R29" s="49">
        <f t="shared" si="2"/>
        <v>0.3</v>
      </c>
    </row>
    <row r="30" spans="1:19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 t="s">
        <v>173</v>
      </c>
      <c r="P30" s="47">
        <f t="shared" si="0"/>
        <v>1</v>
      </c>
      <c r="Q30" s="47">
        <f t="shared" si="1"/>
        <v>10</v>
      </c>
      <c r="R30" s="49">
        <f t="shared" si="2"/>
        <v>0.1</v>
      </c>
    </row>
    <row r="31" spans="1:19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R31" s="49" t="str">
        <f t="shared" ref="R31" si="3">IF(Q31=0,"",P31/Q31)</f>
        <v/>
      </c>
    </row>
  </sheetData>
  <autoFilter ref="A1:S31" xr:uid="{C0625D6E-2678-482C-88B1-4B31BC9434B5}">
    <sortState xmlns:xlrd2="http://schemas.microsoft.com/office/spreadsheetml/2017/richdata2" ref="A2:S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2026-07-27T06:38:25Z</dcterms:modified>
</cp:coreProperties>
</file>