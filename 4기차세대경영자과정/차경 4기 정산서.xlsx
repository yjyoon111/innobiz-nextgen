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cuments\innobiz-nextgen\4기차세대경영자과정\"/>
    </mc:Choice>
  </mc:AlternateContent>
  <xr:revisionPtr revIDLastSave="0" documentId="13_ncr:1_{D5BE5548-6C2A-421B-9B10-B8EE084E9AB4}" xr6:coauthVersionLast="47" xr6:coauthVersionMax="47" xr10:uidLastSave="{00000000-0000-0000-0000-000000000000}"/>
  <bookViews>
    <workbookView xWindow="28680" yWindow="-120" windowWidth="29040" windowHeight="15720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출석현황'!$A$1:$P$31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0" i="14" l="1"/>
  <c r="N30" i="14"/>
  <c r="M30" i="14"/>
  <c r="O29" i="14"/>
  <c r="N29" i="14"/>
  <c r="M29" i="14"/>
  <c r="O28" i="14"/>
  <c r="N28" i="14"/>
  <c r="M28" i="14"/>
  <c r="O27" i="14"/>
  <c r="N27" i="14"/>
  <c r="M27" i="14"/>
  <c r="O26" i="14"/>
  <c r="N26" i="14"/>
  <c r="M26" i="14"/>
  <c r="O25" i="14"/>
  <c r="N25" i="14"/>
  <c r="M25" i="14"/>
  <c r="O24" i="14"/>
  <c r="N24" i="14"/>
  <c r="M24" i="14"/>
  <c r="O23" i="14"/>
  <c r="N23" i="14"/>
  <c r="M23" i="14"/>
  <c r="O22" i="14"/>
  <c r="N22" i="14"/>
  <c r="M22" i="14"/>
  <c r="O21" i="14"/>
  <c r="N21" i="14"/>
  <c r="M21" i="14"/>
  <c r="O20" i="14"/>
  <c r="N20" i="14"/>
  <c r="M20" i="14"/>
  <c r="O19" i="14"/>
  <c r="N19" i="14"/>
  <c r="M19" i="14"/>
  <c r="O18" i="14"/>
  <c r="N18" i="14"/>
  <c r="M18" i="14"/>
  <c r="O17" i="14"/>
  <c r="N17" i="14"/>
  <c r="M17" i="14"/>
  <c r="O16" i="14"/>
  <c r="N16" i="14"/>
  <c r="M16" i="14"/>
  <c r="O15" i="14"/>
  <c r="N15" i="14"/>
  <c r="M15" i="14"/>
  <c r="O14" i="14"/>
  <c r="N14" i="14"/>
  <c r="M14" i="14"/>
  <c r="O13" i="14"/>
  <c r="N13" i="14"/>
  <c r="M13" i="14"/>
  <c r="O12" i="14"/>
  <c r="N12" i="14"/>
  <c r="M12" i="14"/>
  <c r="O11" i="14"/>
  <c r="N11" i="14"/>
  <c r="M11" i="14"/>
  <c r="O10" i="14"/>
  <c r="N10" i="14"/>
  <c r="M10" i="14"/>
  <c r="O9" i="14"/>
  <c r="N9" i="14"/>
  <c r="M9" i="14"/>
  <c r="O8" i="14"/>
  <c r="N8" i="14"/>
  <c r="M8" i="14"/>
  <c r="O7" i="14"/>
  <c r="N7" i="14"/>
  <c r="M7" i="14"/>
  <c r="O6" i="14"/>
  <c r="N6" i="14"/>
  <c r="M6" i="14"/>
  <c r="O5" i="14"/>
  <c r="N5" i="14"/>
  <c r="M5" i="14"/>
  <c r="O4" i="14"/>
  <c r="N4" i="14"/>
  <c r="M4" i="14"/>
  <c r="O3" i="14"/>
  <c r="N3" i="14"/>
  <c r="M3" i="14"/>
  <c r="O2" i="14"/>
  <c r="N2" i="14"/>
  <c r="M2" i="14"/>
  <c r="B28" i="1"/>
  <c r="A26" i="1"/>
  <c r="A27" i="1"/>
  <c r="A28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O31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B5" i="9" l="1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<sst xmlns="http://schemas.openxmlformats.org/spreadsheetml/2006/main" count="690" uniqueCount="306">
  <si>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</si>
  <si>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</si>
  <si>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</si>
  <si>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</si>
  <si>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</si>
  <si>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</si>
  <si>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</si>
  <si>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</si>
  <si>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</si>
  <si>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</si>
  <si>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</si>
  <si>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</si>
  <si>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</si>
  <si>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</si>
  <si>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</si>
  <si>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</si>
  <si>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</si>
  <si>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</si>
  <si>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</si>
  <si>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</si>
  <si>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</si>
  <si>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</si>
  <si>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</si>
  <si>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</si>
  <si>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</si>
  <si>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</si>
  <si>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</si>
  <si>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</si>
  <si>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</si>
  <si>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</si>
  <si>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</si>
  <si>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</si>
  <si>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</si>
  <si>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</si>
  <si>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</si>
  <si>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</si>
  <si>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</si>
  <si>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</si>
  <si>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</si>
  <si>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</si>
  <si>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</si>
  <si>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</si>
  <si>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</si>
  <si>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</si>
  <si>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</si>
  <si>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</si>
  <si>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</si>
  <si>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</si>
  <si>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</si>
  <si>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</si>
  <si>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</si>
  <si>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</si>
  <si>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</si>
  <si>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</si>
  <si>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</si>
  <si>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</si>
  <si>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</si>
  <si>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</si>
  <si>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</si>
  <si>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</si>
  <si>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</si>
  <si>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</si>
  <si>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</si>
  <si>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</si>
  <si>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</si>
  <si>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</si>
  <si>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</si>
  <si>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</si>
  <si>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</si>
  <si>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</si>
  <si>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</si>
  <si>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</si>
  <si>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</si>
  <si>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</si>
  <si>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</si>
  <si>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</si>
  <si>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</si>
  <si>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</si>
  <si>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</si>
  <si>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</si>
  <si>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</si>
  <si>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</si>
  <si>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</si>
  <si>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</si>
  <si>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</si>
  <si>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</si>
  <si>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</si>
  <si>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</si>
  <si>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</si>
  <si>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</si>
  <si>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</si>
  <si>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</si>
  <si>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</si>
  <si>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</si>
  <si>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</si>
  <si>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</si>
  <si>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</si>
  <si>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</si>
  <si>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</si>
  <si>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</si>
  <si>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</si>
  <si>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</si>
  <si>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</si>
  <si>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</si>
  <si>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</si>
  <si>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</si>
  <si>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</si>
  <si>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</si>
  <si>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</si>
  <si>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</si>
  <si>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</si>
  <si>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</si>
  <si>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</si>
  <si>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</si>
  <si>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</si>
  <si>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</si>
  <si>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</si>
  <si>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</si>
  <si>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</si>
  <si>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</si>
  <si>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</si>
  <si>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</si>
  <si>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</si>
  <si>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</si>
  <si>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</si>
  <si>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</si>
  <si>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</si>
  <si>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</si>
  <si>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</si>
  <si>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</si>
  <si>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</si>
  <si>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</si>
  <si>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</si>
  <si>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</si>
  <si>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</si>
  <si>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</si>
  <si>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</si>
  <si>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</si>
  <si>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</si>
  <si>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</si>
  <si>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</si>
  <si>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</si>
  <si>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</si>
  <si>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</si>
  <si>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</si>
  <si>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</si>
  <si>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</si>
  <si>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</si>
  <si>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</si>
  <si>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</si>
  <si>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</si>
  <si>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</si>
  <si>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</si>
  <si>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</si>
  <si>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</si>
  <si>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</si>
  <si>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</si>
  <si>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</si>
  <si>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</si>
  <si>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</si>
  <si>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</si>
  <si>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</si>
  <si>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</si>
  <si>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</si>
  <si>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</si>
  <si>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</si>
  <si>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</si>
  <si>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</si>
  <si>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</si>
  <si>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</si>
  <si>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</si>
  <si>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</si>
  <si>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</si>
  <si>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</si>
  <si>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</si>
  <si>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</si>
  <si>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</si>
  <si>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</si>
  <si>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</si>
  <si>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</si>
  <si>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</si>
  <si>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</si>
  <si>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</si>
  <si>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</si>
  <si>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</si>
  <si>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</si>
  <si>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</si>
  <si>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</si>
  <si>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</si>
  <si>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</si>
  <si>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</si>
  <si>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</si>
  <si>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</si>
  <si>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</si>
  <si>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</si>
  <si>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</si>
  <si>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</si>
  <si>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</si>
  <si>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</si>
  <si>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</si>
  <si>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</si>
  <si>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</si>
  <si>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</si>
  <si>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</si>
  <si>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</si>
  <si>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</si>
  <si>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</si>
  <si>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</si>
  <si>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</si>
  <si>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</si>
  <si>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</si>
  <si>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</si>
  <si>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</si>
  <si>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</si>
  <si>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</si>
  <si>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</si>
  <si>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</si>
  <si>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</si>
  <si>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</si>
  <si>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</si>
  <si>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</si>
  <si>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</si>
  <si>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</si>
  <si>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</si>
  <si>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</si>
  <si>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</si>
  <si>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</si>
  <si>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</si>
  <si>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</si>
  <si>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</si>
  <si>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</si>
  <si>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</si>
  <si>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</si>
  <si>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</si>
  <si>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</si>
  <si>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</si>
  <si>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</si>
  <si>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</si>
  <si>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</si>
  <si>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</si>
  <si>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</si>
  <si>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</si>
  <si>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</si>
  <si>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</si>
  <si>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</si>
  <si>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</si>
  <si>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</si>
  <si>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</si>
  <si>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</si>
  <si>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</si>
  <si>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</si>
  <si>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</si>
  <si>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</si>
  <si>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</si>
  <si>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</si>
  <si>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</si>
  <si>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</si>
  <si>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</si>
  <si>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</si>
  <si>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</si>
  <si>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</si>
  <si>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</si>
  <si>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</si>
  <si>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</si>
  <si>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</si>
  <si>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</si>
  <si>
    <t>상하이 전시회(NEPCON,SIA) 운영 용역 선금 70%</t>
    <phoneticPr fontId="2" type="noConversion"/>
  </si>
  <si>
    <t>해외전시</t>
    <phoneticPr fontId="2" type="noConversion"/>
  </si>
  <si>
    <t>(주)인터메세항공</t>
    <phoneticPr fontId="2" type="noConversion"/>
  </si>
  <si>
    <t>강사비(고영)</t>
    <phoneticPr fontId="2" type="noConversion"/>
  </si>
  <si>
    <t>SCG</t>
    <phoneticPr fontId="2" type="noConversion"/>
  </si>
  <si>
    <t>강사비(이상진)</t>
    <phoneticPr fontId="2" type="noConversion"/>
  </si>
  <si>
    <t>이상진</t>
    <phoneticPr fontId="2" type="noConversion"/>
  </si>
  <si>
    <t>주식회사 스마트에이엘</t>
    <phoneticPr fontId="2" type="noConversion"/>
  </si>
  <si>
    <t>식비(스시가오)</t>
    <phoneticPr fontId="2" type="noConversion"/>
  </si>
  <si>
    <t>스시가오</t>
    <phoneticPr fontId="2" type="noConversion"/>
  </si>
  <si>
    <t>운영비(투썸 기프트카드)</t>
    <phoneticPr fontId="2" type="noConversion"/>
  </si>
  <si>
    <t>운영비</t>
    <phoneticPr fontId="2" type="noConversion"/>
  </si>
  <si>
    <t>투썸플레이스 판교만도점</t>
    <phoneticPr fontId="2" type="noConversion"/>
  </si>
  <si>
    <t>다과비(음료)</t>
    <phoneticPr fontId="2" type="noConversion"/>
  </si>
  <si>
    <t>5주차</t>
    <phoneticPr fontId="2" type="noConversion"/>
  </si>
  <si>
    <t>6주차</t>
    <phoneticPr fontId="2" type="noConversion"/>
  </si>
  <si>
    <t>강사비(김창원)</t>
    <phoneticPr fontId="2" type="noConversion"/>
  </si>
  <si>
    <t>김창원</t>
    <phoneticPr fontId="2" type="noConversion"/>
  </si>
  <si>
    <t>7주차</t>
    <phoneticPr fontId="2" type="noConversion"/>
  </si>
  <si>
    <t>진행비(김창원)</t>
    <phoneticPr fontId="2" type="noConversion"/>
  </si>
  <si>
    <t>식비(소호면가)</t>
    <phoneticPr fontId="2" type="noConversion"/>
  </si>
  <si>
    <t>소호면가 분당점</t>
    <phoneticPr fontId="2" type="noConversion"/>
  </si>
  <si>
    <t>5주(2026-06-03~06, 해외연수)</t>
  </si>
  <si>
    <t>6주(2026-06-11)</t>
  </si>
  <si>
    <t>7주(2026-06-18)</t>
  </si>
  <si>
    <t>참가</t>
  </si>
  <si>
    <t>강사비(고영)</t>
  </si>
  <si>
    <t>강의비</t>
  </si>
  <si>
    <t>고영</t>
  </si>
  <si>
    <t>진행비(고영)</t>
  </si>
  <si>
    <t>진행비</t>
  </si>
  <si>
    <t>교재 인쇄(3권), 회원수첩</t>
  </si>
  <si>
    <t>준비비</t>
  </si>
  <si>
    <t>(주)행일미디어</t>
  </si>
  <si>
    <t>다과비</t>
  </si>
  <si>
    <t>세븐일레븐 판교이노밸리점</t>
  </si>
  <si>
    <t>식비(끌리마)</t>
  </si>
  <si>
    <t>식비</t>
  </si>
  <si>
    <t>끌리마</t>
  </si>
  <si>
    <t>8주(2026-06-25)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</si>
</sst>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7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42" fontId="0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3" dataDxfId="11" headerRowBorderDxfId="12" tableBorderDxfId="10" totalsRowBorderDxfId="9">
  <autoFilter ref="A3:G28" xr:uid="{F37A924D-4739-4466-82F0-060C7C7F369C}"/>
  <tableColumns count="7">
    <tableColumn id="1" xr3:uid="{4F8A6A33-04D1-479E-861B-D3FBAB17312B}" name="번호" dataDxfId="8">
      <calculatedColumnFormula>ROW()-ROW($A$3)</calculatedColumnFormula>
    </tableColumn>
    <tableColumn id="2" xr3:uid="{4E5B67DB-07B3-460B-A826-0D305FABC976}" name="금액" dataDxfId="7" dataCellStyle="쉼표 [0]"/>
    <tableColumn id="3" xr3:uid="{E7B0A6B7-64CD-4FDF-83DA-5CF7F2853E97}" name="일자" dataDxfId="6" dataCellStyle="쉼표 [0]"/>
    <tableColumn id="4" xr3:uid="{6228C10C-B924-48E4-9CC2-C07023CA6BF0}" name="내역" dataDxfId="5"/>
    <tableColumn id="5" xr3:uid="{0C4D9457-EB43-42B2-AF5F-4AF4AEEE4A1C}" name="대분류" dataDxfId="4"/>
    <tableColumn id="6" xr3:uid="{93D6AE5C-3CCC-429F-9946-64BF3FA52CAC}" name="거래처" dataDxfId="3"/>
    <tableColumn id="7" xr3:uid="{D175CF7B-20BC-4FE0-8D61-043EF1DF6C3A}" name="차수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72" t="s">
        <v>105</v>
      </c>
      <c r="B1" s="73"/>
      <c r="C1" s="73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72" t="s">
        <v>241</v>
      </c>
      <c r="B1" s="72"/>
      <c r="C1" s="72"/>
      <c r="D1" s="72"/>
      <c r="E1" s="72"/>
      <c r="F1" s="72"/>
      <c r="G1" s="72"/>
    </row>
    <row r="2" spans="1:7" ht="11.25" customHeight="1">
      <c r="A2" s="51"/>
      <c r="B2" s="51"/>
      <c r="C2" s="51"/>
      <c r="D2" s="51"/>
      <c r="E2" s="51"/>
      <c r="F2" s="51"/>
      <c r="G2" s="51"/>
    </row>
    <row r="3" spans="1:7" ht="19.5">
      <c r="A3" s="4" t="s">
        <v>1</v>
      </c>
      <c r="B3" s="52" t="s">
        <v>2</v>
      </c>
      <c r="C3" s="3" t="s">
        <v>242</v>
      </c>
    </row>
    <row r="4" spans="1:7">
      <c r="A4" s="56">
        <v>2800000</v>
      </c>
      <c r="B4" s="53" t="s">
        <v>161</v>
      </c>
      <c r="C4" t="s">
        <v>246</v>
      </c>
    </row>
    <row r="5" spans="1:7">
      <c r="A5" s="56">
        <v>2800000</v>
      </c>
      <c r="B5" s="53" t="s">
        <v>163</v>
      </c>
      <c r="C5" t="s">
        <v>246</v>
      </c>
    </row>
    <row r="6" spans="1:7">
      <c r="A6" s="56">
        <v>2800000</v>
      </c>
      <c r="B6" s="53" t="s">
        <v>165</v>
      </c>
      <c r="C6" t="s">
        <v>246</v>
      </c>
    </row>
    <row r="7" spans="1:7">
      <c r="A7" s="56">
        <v>2800000</v>
      </c>
      <c r="B7" s="53" t="s">
        <v>168</v>
      </c>
      <c r="C7" t="s">
        <v>246</v>
      </c>
    </row>
    <row r="8" spans="1:7">
      <c r="A8" s="56">
        <v>2800000</v>
      </c>
      <c r="B8" s="53" t="s">
        <v>171</v>
      </c>
      <c r="C8" t="s">
        <v>246</v>
      </c>
    </row>
    <row r="9" spans="1:7">
      <c r="A9" s="60">
        <v>2800000</v>
      </c>
      <c r="B9" s="54" t="s">
        <v>175</v>
      </c>
      <c r="C9" t="s">
        <v>246</v>
      </c>
    </row>
    <row r="10" spans="1:7">
      <c r="A10" s="60">
        <v>2800000</v>
      </c>
      <c r="B10" s="54" t="s">
        <v>243</v>
      </c>
      <c r="C10" t="s">
        <v>246</v>
      </c>
    </row>
    <row r="11" spans="1:7">
      <c r="A11" s="61">
        <v>2800000</v>
      </c>
      <c r="B11" s="55" t="s">
        <v>244</v>
      </c>
      <c r="C11" t="s">
        <v>246</v>
      </c>
    </row>
    <row r="12" spans="1:7">
      <c r="A12" s="56">
        <v>2800000</v>
      </c>
      <c r="B12" s="53" t="s">
        <v>180</v>
      </c>
      <c r="C12" t="s">
        <v>246</v>
      </c>
    </row>
    <row r="13" spans="1:7">
      <c r="A13" s="56">
        <v>3500000</v>
      </c>
      <c r="B13" s="53" t="s">
        <v>183</v>
      </c>
      <c r="C13" t="s">
        <v>246</v>
      </c>
    </row>
    <row r="14" spans="1:7">
      <c r="A14" s="56">
        <v>2800000</v>
      </c>
      <c r="B14" s="53" t="s">
        <v>186</v>
      </c>
      <c r="C14" t="s">
        <v>246</v>
      </c>
    </row>
    <row r="15" spans="1:7">
      <c r="A15" s="56">
        <v>2800000</v>
      </c>
      <c r="B15" s="53" t="s">
        <v>188</v>
      </c>
      <c r="C15" t="s">
        <v>246</v>
      </c>
    </row>
    <row r="16" spans="1:7">
      <c r="A16" s="56">
        <v>3500000</v>
      </c>
      <c r="B16" s="53" t="s">
        <v>189</v>
      </c>
      <c r="C16" t="s">
        <v>246</v>
      </c>
    </row>
    <row r="17" spans="1:3">
      <c r="A17" s="56">
        <v>2800000</v>
      </c>
      <c r="B17" s="53" t="s">
        <v>192</v>
      </c>
      <c r="C17" t="s">
        <v>246</v>
      </c>
    </row>
    <row r="18" spans="1:3">
      <c r="A18" s="56">
        <v>3400000</v>
      </c>
      <c r="B18" s="53" t="s">
        <v>195</v>
      </c>
      <c r="C18" t="s">
        <v>246</v>
      </c>
    </row>
    <row r="19" spans="1:3">
      <c r="A19" s="56">
        <v>2800000</v>
      </c>
      <c r="B19" s="53" t="s">
        <v>204</v>
      </c>
      <c r="C19" t="s">
        <v>246</v>
      </c>
    </row>
    <row r="20" spans="1:3">
      <c r="A20" s="56">
        <v>2800000</v>
      </c>
      <c r="B20" s="53" t="s">
        <v>206</v>
      </c>
      <c r="C20" t="s">
        <v>246</v>
      </c>
    </row>
    <row r="21" spans="1:3">
      <c r="A21" s="56">
        <v>2800000</v>
      </c>
      <c r="B21" s="54" t="s">
        <v>245</v>
      </c>
      <c r="C21" t="s">
        <v>246</v>
      </c>
    </row>
    <row r="22" spans="1:3">
      <c r="A22" s="56">
        <v>2800000</v>
      </c>
      <c r="B22" s="53" t="s">
        <v>208</v>
      </c>
      <c r="C22" t="s">
        <v>246</v>
      </c>
    </row>
    <row r="23" spans="1:3">
      <c r="A23" s="56">
        <v>2800000</v>
      </c>
      <c r="B23" s="53" t="s">
        <v>211</v>
      </c>
      <c r="C23" t="s">
        <v>246</v>
      </c>
    </row>
    <row r="24" spans="1:3">
      <c r="A24" s="56">
        <v>2800000</v>
      </c>
      <c r="B24" s="53" t="s">
        <v>213</v>
      </c>
      <c r="C24" t="s">
        <v>246</v>
      </c>
    </row>
    <row r="25" spans="1:3">
      <c r="A25" s="56">
        <v>2800000</v>
      </c>
      <c r="B25" s="53" t="s">
        <v>215</v>
      </c>
      <c r="C25" t="s">
        <v>246</v>
      </c>
    </row>
    <row r="26" spans="1:3">
      <c r="A26" s="56">
        <v>2800000</v>
      </c>
      <c r="B26" s="53" t="s">
        <v>218</v>
      </c>
      <c r="C26" t="s">
        <v>246</v>
      </c>
    </row>
    <row r="27" spans="1:3">
      <c r="A27" s="56">
        <v>2800000</v>
      </c>
      <c r="B27" s="53" t="s">
        <v>220</v>
      </c>
      <c r="C27" t="s">
        <v>246</v>
      </c>
    </row>
    <row r="28" spans="1:3">
      <c r="A28" s="56">
        <v>2800000</v>
      </c>
      <c r="B28" s="53" t="s">
        <v>222</v>
      </c>
      <c r="C28" t="s">
        <v>246</v>
      </c>
    </row>
    <row r="29" spans="1:3">
      <c r="A29" s="56">
        <v>3400000</v>
      </c>
      <c r="B29" s="53" t="s">
        <v>224</v>
      </c>
      <c r="C29" t="s">
        <v>246</v>
      </c>
    </row>
    <row r="30" spans="1:3">
      <c r="A30" s="56">
        <v>2800000</v>
      </c>
      <c r="B30" s="53" t="s">
        <v>226</v>
      </c>
      <c r="C30" t="s">
        <v>246</v>
      </c>
    </row>
    <row r="31" spans="1:3">
      <c r="A31" s="56">
        <v>2800000</v>
      </c>
      <c r="B31" s="53" t="s">
        <v>228</v>
      </c>
      <c r="C31" t="s">
        <v>246</v>
      </c>
    </row>
    <row r="32" spans="1:3">
      <c r="A32" s="56">
        <v>1090000</v>
      </c>
      <c r="B32" s="53" t="s">
        <v>161</v>
      </c>
      <c r="C32" t="s">
        <v>249</v>
      </c>
    </row>
    <row r="33" spans="1:3">
      <c r="A33" s="56">
        <v>1090000</v>
      </c>
      <c r="B33" s="53" t="s">
        <v>163</v>
      </c>
      <c r="C33" t="s">
        <v>249</v>
      </c>
    </row>
    <row r="34" spans="1:3">
      <c r="A34" s="56">
        <v>990000</v>
      </c>
      <c r="B34" s="53" t="s">
        <v>165</v>
      </c>
      <c r="C34" t="s">
        <v>248</v>
      </c>
    </row>
    <row r="35" spans="1:3">
      <c r="A35" s="56">
        <v>990000</v>
      </c>
      <c r="B35" s="53" t="s">
        <v>168</v>
      </c>
      <c r="C35" t="s">
        <v>248</v>
      </c>
    </row>
    <row r="36" spans="1:3">
      <c r="A36" s="56">
        <v>990000</v>
      </c>
      <c r="B36" s="53" t="s">
        <v>171</v>
      </c>
      <c r="C36" t="s">
        <v>248</v>
      </c>
    </row>
    <row r="37" spans="1:3">
      <c r="A37" s="57">
        <v>1090000</v>
      </c>
      <c r="B37" s="54" t="s">
        <v>175</v>
      </c>
      <c r="C37" t="s">
        <v>249</v>
      </c>
    </row>
    <row r="38" spans="1:3">
      <c r="A38" s="56">
        <v>167000</v>
      </c>
      <c r="B38" s="54" t="s">
        <v>243</v>
      </c>
      <c r="C38" t="s">
        <v>248</v>
      </c>
    </row>
    <row r="39" spans="1:3">
      <c r="A39" s="56">
        <v>1090000</v>
      </c>
      <c r="B39" s="55" t="s">
        <v>244</v>
      </c>
      <c r="C39" t="s">
        <v>249</v>
      </c>
    </row>
    <row r="40" spans="1:3">
      <c r="A40" s="58">
        <v>1090000</v>
      </c>
      <c r="B40" s="53" t="s">
        <v>180</v>
      </c>
      <c r="C40" t="s">
        <v>249</v>
      </c>
    </row>
    <row r="41" spans="1:3">
      <c r="A41" s="56">
        <v>1090000</v>
      </c>
      <c r="B41" s="53" t="s">
        <v>195</v>
      </c>
      <c r="C41" t="s">
        <v>249</v>
      </c>
    </row>
    <row r="42" spans="1:3">
      <c r="A42" s="56">
        <v>1090000</v>
      </c>
      <c r="B42" s="53" t="s">
        <v>204</v>
      </c>
      <c r="C42" t="s">
        <v>249</v>
      </c>
    </row>
    <row r="43" spans="1:3">
      <c r="A43" s="56">
        <v>1090000</v>
      </c>
      <c r="B43" s="53" t="s">
        <v>218</v>
      </c>
      <c r="C43" t="s">
        <v>249</v>
      </c>
    </row>
    <row r="44" spans="1:3">
      <c r="A44" s="56">
        <v>1090000</v>
      </c>
      <c r="B44" s="53" t="s">
        <v>220</v>
      </c>
      <c r="C44" t="s">
        <v>249</v>
      </c>
    </row>
    <row r="45" spans="1:3">
      <c r="A45" s="56">
        <v>448080</v>
      </c>
      <c r="B45" s="53" t="s">
        <v>228</v>
      </c>
      <c r="C45" t="s">
        <v>248</v>
      </c>
    </row>
    <row r="46" spans="1:3">
      <c r="A46" s="59">
        <v>1600000</v>
      </c>
      <c r="B46" s="62" t="s">
        <v>247</v>
      </c>
      <c r="C46" t="s">
        <v>249</v>
      </c>
    </row>
    <row r="47" spans="1:3">
      <c r="A47" s="67">
        <f>SUM(A4:A46)</f>
        <v>95995080</v>
      </c>
    </row>
  </sheetData>
  <mergeCells count="1">
    <mergeCell ref="A1:G1"/>
  </mergeCells>
  <phoneticPr fontId="2" type="noConversion"/>
  <conditionalFormatting sqref="A9:B10">
    <cfRule type="containsText" dxfId="1" priority="2" operator="containsText" text="x">
      <formula>NOT(ISERROR(SEARCH("x",A9)))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72" t="s">
        <v>105</v>
      </c>
      <c r="B1" s="72"/>
      <c r="C1" s="72"/>
      <c r="D1" s="72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2411500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13563500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45"/>
  <sheetViews>
    <sheetView tabSelected="1" topLeftCell="A18" zoomScaleNormal="100" workbookViewId="0">
      <selection activeCell="A29" sqref="A29:G40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72" t="s">
        <v>105</v>
      </c>
      <c r="B1" s="72"/>
      <c r="C1" s="72"/>
      <c r="D1" s="72"/>
      <c r="E1" s="72"/>
      <c r="F1" s="72"/>
      <c r="G1" s="72"/>
    </row>
    <row r="2" spans="1:7">
      <c r="F2" s="2"/>
    </row>
    <row r="3" spans="1:7" ht="30.75" customHeight="1">
      <c r="A3" s="38" t="s">
        <v>0</v>
      </c>
      <c r="B3" s="39" t="s">
        <v>1</v>
      </c>
      <c r="C3" s="40" t="s">
        <v>108</v>
      </c>
      <c r="D3" s="41" t="s">
        <v>2</v>
      </c>
      <c r="E3" s="41" t="s">
        <v>32</v>
      </c>
      <c r="F3" s="41" t="s">
        <v>19</v>
      </c>
      <c r="G3" s="42" t="s">
        <v>3</v>
      </c>
    </row>
    <row r="4" spans="1:7" ht="30.75" customHeight="1">
      <c r="A4" s="43">
        <f>ROW()-ROW($A$3)</f>
        <v>1</v>
      </c>
      <c r="B4" s="44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3">
        <f t="shared" ref="A5:A6" si="0">ROW()-ROW($A$3)</f>
        <v>2</v>
      </c>
      <c r="B5" s="44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3">
        <f t="shared" si="0"/>
        <v>3</v>
      </c>
      <c r="B6" s="44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3">
        <f t="shared" ref="A7:A11" si="1">ROW()-ROW($A$3)</f>
        <v>4</v>
      </c>
      <c r="B7" s="44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3">
        <f t="shared" si="1"/>
        <v>5</v>
      </c>
      <c r="B8" s="44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3">
        <f t="shared" si="1"/>
        <v>6</v>
      </c>
      <c r="B9" s="44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3">
        <f t="shared" si="1"/>
        <v>7</v>
      </c>
      <c r="B10" s="44">
        <v>464200</v>
      </c>
      <c r="C10" s="36">
        <v>46141</v>
      </c>
      <c r="D10" s="37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3">
        <f t="shared" si="1"/>
        <v>8</v>
      </c>
      <c r="B11" s="44">
        <v>52500</v>
      </c>
      <c r="C11" s="36">
        <v>46156</v>
      </c>
      <c r="D11" s="37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3">
        <f t="shared" ref="A12:A16" si="2">ROW()-ROW($A$3)</f>
        <v>9</v>
      </c>
      <c r="B12" s="44">
        <v>1000</v>
      </c>
      <c r="C12" s="36">
        <v>46156</v>
      </c>
      <c r="D12" s="37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3">
        <f t="shared" si="2"/>
        <v>10</v>
      </c>
      <c r="B13" s="44">
        <v>358000</v>
      </c>
      <c r="C13" s="36">
        <v>46156</v>
      </c>
      <c r="D13" s="37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3">
        <f t="shared" si="2"/>
        <v>11</v>
      </c>
      <c r="B14" s="44">
        <v>2000000</v>
      </c>
      <c r="C14" s="36">
        <v>46156</v>
      </c>
      <c r="D14" s="37" t="s">
        <v>148</v>
      </c>
      <c r="E14" s="22" t="s">
        <v>137</v>
      </c>
      <c r="F14" s="33"/>
      <c r="G14" s="22" t="s">
        <v>138</v>
      </c>
    </row>
    <row r="15" spans="1:7" ht="30.75" customHeight="1">
      <c r="A15" s="43">
        <f t="shared" si="2"/>
        <v>12</v>
      </c>
      <c r="B15" s="44">
        <v>14500</v>
      </c>
      <c r="C15" s="36">
        <v>46163</v>
      </c>
      <c r="D15" s="37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3">
        <f t="shared" si="2"/>
        <v>13</v>
      </c>
      <c r="B16" s="44">
        <v>24000</v>
      </c>
      <c r="C16" s="36">
        <v>46163</v>
      </c>
      <c r="D16" s="37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3">
        <f>ROW()-ROW($A$3)</f>
        <v>14</v>
      </c>
      <c r="B17" s="44">
        <v>25600</v>
      </c>
      <c r="C17" s="36">
        <v>46163</v>
      </c>
      <c r="D17" s="37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3">
        <f>ROW()-ROW($A$3)</f>
        <v>15</v>
      </c>
      <c r="B18" s="44">
        <v>393000</v>
      </c>
      <c r="C18" s="36">
        <v>46163</v>
      </c>
      <c r="D18" s="37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3">
        <f>ROW()-ROW($A$3)</f>
        <v>16</v>
      </c>
      <c r="B19" s="44">
        <v>2750000</v>
      </c>
      <c r="C19" s="36">
        <v>46163</v>
      </c>
      <c r="D19" s="37" t="s">
        <v>146</v>
      </c>
      <c r="E19" s="22" t="s">
        <v>144</v>
      </c>
      <c r="F19" s="33"/>
      <c r="G19" s="22" t="s">
        <v>134</v>
      </c>
    </row>
    <row r="20" spans="1:7" ht="30.75" customHeight="1">
      <c r="A20" s="43">
        <f>ROW()-ROW($A$3)</f>
        <v>17</v>
      </c>
      <c r="B20" s="44">
        <v>1000000</v>
      </c>
      <c r="C20" s="36">
        <v>46163</v>
      </c>
      <c r="D20" s="37" t="s">
        <v>147</v>
      </c>
      <c r="E20" s="22" t="s">
        <v>145</v>
      </c>
      <c r="F20" s="33"/>
      <c r="G20" s="22" t="s">
        <v>134</v>
      </c>
    </row>
    <row r="21" spans="1:7" ht="30.75" customHeight="1">
      <c r="A21" s="43">
        <f t="shared" ref="A21:A25" si="3">ROW()-ROW($A$3)</f>
        <v>18</v>
      </c>
      <c r="B21" s="63">
        <v>1000000</v>
      </c>
      <c r="C21" s="64">
        <v>46170</v>
      </c>
      <c r="D21" s="37" t="s">
        <v>147</v>
      </c>
      <c r="E21" s="22" t="s">
        <v>121</v>
      </c>
      <c r="F21" s="65"/>
      <c r="G21" s="66" t="s">
        <v>250</v>
      </c>
    </row>
    <row r="22" spans="1:7" ht="30.75" customHeight="1">
      <c r="A22" s="43">
        <f t="shared" si="3"/>
        <v>19</v>
      </c>
      <c r="B22" s="63">
        <v>2000000</v>
      </c>
      <c r="C22" s="64">
        <v>46170</v>
      </c>
      <c r="D22" s="65" t="s">
        <v>254</v>
      </c>
      <c r="E22" s="22" t="s">
        <v>120</v>
      </c>
      <c r="F22" s="65"/>
      <c r="G22" s="66" t="s">
        <v>250</v>
      </c>
    </row>
    <row r="23" spans="1:7" ht="30.75" customHeight="1">
      <c r="A23" s="43">
        <f t="shared" si="3"/>
        <v>20</v>
      </c>
      <c r="B23" s="63">
        <v>380600</v>
      </c>
      <c r="C23" s="64">
        <v>46170</v>
      </c>
      <c r="D23" s="65" t="s">
        <v>255</v>
      </c>
      <c r="E23" s="65" t="s">
        <v>256</v>
      </c>
      <c r="F23" s="65" t="s">
        <v>127</v>
      </c>
      <c r="G23" s="66" t="s">
        <v>250</v>
      </c>
    </row>
    <row r="24" spans="1:7" ht="30.75" customHeight="1">
      <c r="A24" s="43">
        <f t="shared" si="3"/>
        <v>21</v>
      </c>
      <c r="B24" s="63">
        <v>22200</v>
      </c>
      <c r="C24" s="64">
        <v>46170</v>
      </c>
      <c r="D24" s="65" t="s">
        <v>258</v>
      </c>
      <c r="E24" s="65" t="s">
        <v>257</v>
      </c>
      <c r="F24" s="65" t="s">
        <v>110</v>
      </c>
      <c r="G24" s="66" t="s">
        <v>250</v>
      </c>
    </row>
    <row r="25" spans="1:7" ht="30.75" customHeight="1">
      <c r="A25" s="43">
        <f t="shared" si="3"/>
        <v>22</v>
      </c>
      <c r="B25" s="63">
        <v>37000</v>
      </c>
      <c r="C25" s="64">
        <v>46170</v>
      </c>
      <c r="D25" s="65" t="s">
        <v>259</v>
      </c>
      <c r="E25" s="65" t="s">
        <v>257</v>
      </c>
      <c r="F25" s="65" t="s">
        <v>113</v>
      </c>
      <c r="G25" s="66" t="s">
        <v>250</v>
      </c>
    </row>
    <row r="26" spans="1:7" ht="30.75" customHeight="1">
      <c r="A26" s="43">
        <f>ROW()-ROW($A$3)</f>
        <v>23</v>
      </c>
      <c r="B26" s="70">
        <v>105000</v>
      </c>
      <c r="C26" s="68">
        <v>46170</v>
      </c>
      <c r="D26" s="69" t="s">
        <v>264</v>
      </c>
      <c r="E26" s="69" t="s">
        <v>260</v>
      </c>
      <c r="F26" s="69" t="s">
        <v>261</v>
      </c>
      <c r="G26" s="69" t="s">
        <v>250</v>
      </c>
    </row>
    <row r="27" spans="1:7" ht="30.75" customHeight="1">
      <c r="A27" s="43">
        <f>ROW()-ROW($A$3)</f>
        <v>24</v>
      </c>
      <c r="B27" s="70">
        <v>175100</v>
      </c>
      <c r="C27" s="68">
        <v>46170</v>
      </c>
      <c r="D27" s="69" t="s">
        <v>263</v>
      </c>
      <c r="E27" s="69" t="s">
        <v>260</v>
      </c>
      <c r="F27" s="69" t="s">
        <v>262</v>
      </c>
      <c r="G27" s="69" t="s">
        <v>250</v>
      </c>
    </row>
    <row r="28" spans="1:7" ht="30.75" customHeight="1">
      <c r="A28" s="43">
        <f>ROW()-ROW($A$3)</f>
        <v>25</v>
      </c>
      <c r="B28" s="70">
        <f>64600</f>
        <v>64600</v>
      </c>
      <c r="C28" s="68">
        <v>46170</v>
      </c>
      <c r="D28" s="69" t="s">
        <v>265</v>
      </c>
      <c r="E28" s="69" t="s">
        <v>260</v>
      </c>
      <c r="F28" s="69" t="s">
        <v>110</v>
      </c>
      <c r="G28" s="69" t="s">
        <v>250</v>
      </c>
    </row>
    <row r="29" spans="1:7" ht="19.5">
      <c r="A29" s="43">
        <v>26</v>
      </c>
      <c r="B29" s="70">
        <v>14266000</v>
      </c>
      <c r="C29" s="68">
        <v>46175</v>
      </c>
      <c r="D29" s="69" t="s">
        <v>266</v>
      </c>
      <c r="E29" s="69" t="s">
        <v>267</v>
      </c>
      <c r="F29" s="69" t="s">
        <v>268</v>
      </c>
      <c r="G29" s="69" t="s">
        <v>280</v>
      </c>
    </row>
    <row r="30" spans="1:7" ht="19.5">
      <c r="A30" s="43">
        <v>27</v>
      </c>
      <c r="B30" s="70">
        <v>1500000</v>
      </c>
      <c r="C30" s="68">
        <v>46176</v>
      </c>
      <c r="D30" s="69" t="s">
        <v>269</v>
      </c>
      <c r="E30" s="69" t="s">
        <v>120</v>
      </c>
      <c r="F30" s="69" t="s">
        <v>270</v>
      </c>
      <c r="G30" s="69" t="s">
        <v>280</v>
      </c>
    </row>
    <row r="31" spans="1:7" ht="19.5">
      <c r="A31" s="43">
        <v>28</v>
      </c>
      <c r="B31" s="70">
        <v>1000000</v>
      </c>
      <c r="C31" s="68">
        <v>46184</v>
      </c>
      <c r="D31" s="69" t="s">
        <v>271</v>
      </c>
      <c r="E31" s="69" t="s">
        <v>120</v>
      </c>
      <c r="F31" s="69" t="s">
        <v>272</v>
      </c>
      <c r="G31" s="69" t="s">
        <v>281</v>
      </c>
    </row>
    <row r="32" spans="1:7" ht="19.5">
      <c r="A32" s="43">
        <v>29</v>
      </c>
      <c r="B32" s="70">
        <v>1000000</v>
      </c>
      <c r="C32" s="68">
        <v>46184</v>
      </c>
      <c r="D32" s="69" t="s">
        <v>147</v>
      </c>
      <c r="E32" s="69" t="s">
        <v>121</v>
      </c>
      <c r="F32" s="69" t="s">
        <v>273</v>
      </c>
      <c r="G32" s="69" t="s">
        <v>281</v>
      </c>
    </row>
    <row r="33" spans="1:7" ht="19.5">
      <c r="A33" s="43">
        <v>30</v>
      </c>
      <c r="B33" s="70">
        <v>670000</v>
      </c>
      <c r="C33" s="68">
        <v>46184</v>
      </c>
      <c r="D33" s="69" t="s">
        <v>274</v>
      </c>
      <c r="E33" s="69" t="s">
        <v>25</v>
      </c>
      <c r="F33" s="69" t="s">
        <v>275</v>
      </c>
      <c r="G33" s="69" t="s">
        <v>281</v>
      </c>
    </row>
    <row r="34" spans="1:7" ht="19.5">
      <c r="A34" s="43">
        <v>31</v>
      </c>
      <c r="B34" s="70">
        <v>70000</v>
      </c>
      <c r="C34" s="68">
        <v>46184</v>
      </c>
      <c r="D34" s="69" t="s">
        <v>276</v>
      </c>
      <c r="E34" s="69" t="s">
        <v>277</v>
      </c>
      <c r="F34" s="69" t="s">
        <v>278</v>
      </c>
      <c r="G34" s="69" t="s">
        <v>281</v>
      </c>
    </row>
    <row r="35" spans="1:7" ht="19.5">
      <c r="A35" s="43">
        <v>32</v>
      </c>
      <c r="B35" s="70">
        <v>50200</v>
      </c>
      <c r="C35" s="68">
        <v>46184</v>
      </c>
      <c r="D35" s="69" t="s">
        <v>109</v>
      </c>
      <c r="E35" s="69" t="s">
        <v>109</v>
      </c>
      <c r="F35" s="69" t="s">
        <v>110</v>
      </c>
      <c r="G35" s="69" t="s">
        <v>281</v>
      </c>
    </row>
    <row r="36" spans="1:7" ht="19.5">
      <c r="A36" s="43">
        <v>33</v>
      </c>
      <c r="B36" s="70">
        <v>29700</v>
      </c>
      <c r="C36" s="68">
        <v>46184</v>
      </c>
      <c r="D36" s="69" t="s">
        <v>279</v>
      </c>
      <c r="E36" s="69" t="s">
        <v>109</v>
      </c>
      <c r="F36" s="69" t="s">
        <v>113</v>
      </c>
      <c r="G36" s="69" t="s">
        <v>281</v>
      </c>
    </row>
    <row r="37" spans="1:7" ht="19.5">
      <c r="A37" s="43">
        <v>34</v>
      </c>
      <c r="B37" s="70">
        <v>1000000</v>
      </c>
      <c r="C37" s="68">
        <v>46191</v>
      </c>
      <c r="D37" s="69" t="s">
        <v>282</v>
      </c>
      <c r="E37" s="69" t="s">
        <v>120</v>
      </c>
      <c r="F37" s="69" t="s">
        <v>283</v>
      </c>
      <c r="G37" s="69" t="s">
        <v>284</v>
      </c>
    </row>
    <row r="38" spans="1:7" ht="19.5">
      <c r="A38" s="43">
        <v>35</v>
      </c>
      <c r="B38" s="70">
        <v>500000</v>
      </c>
      <c r="C38" s="68">
        <v>46191</v>
      </c>
      <c r="D38" s="69" t="s">
        <v>285</v>
      </c>
      <c r="E38" s="69" t="s">
        <v>121</v>
      </c>
      <c r="F38" s="69" t="s">
        <v>283</v>
      </c>
      <c r="G38" s="69" t="s">
        <v>284</v>
      </c>
    </row>
    <row r="39" spans="1:7" ht="19.5">
      <c r="A39" s="43">
        <v>36</v>
      </c>
      <c r="B39" s="70">
        <v>395000</v>
      </c>
      <c r="C39" s="68">
        <v>46191</v>
      </c>
      <c r="D39" s="69" t="s">
        <v>286</v>
      </c>
      <c r="E39" s="69" t="s">
        <v>25</v>
      </c>
      <c r="F39" s="69" t="s">
        <v>287</v>
      </c>
      <c r="G39" s="69" t="s">
        <v>284</v>
      </c>
    </row>
    <row r="40" spans="1:7" ht="19.5">
      <c r="A40" s="43">
        <v>37</v>
      </c>
      <c r="B40" s="70">
        <v>78100</v>
      </c>
      <c r="C40" s="68">
        <v>46191</v>
      </c>
      <c r="D40" s="69" t="s">
        <v>109</v>
      </c>
      <c r="E40" s="69" t="s">
        <v>109</v>
      </c>
      <c r="F40" s="69" t="s">
        <v>110</v>
      </c>
      <c r="G40" s="69" t="s">
        <v>284</v>
      </c>
    </row>
    <row r="41" spans="1:7">
      <c r="A41">
        <v>38</v>
      </c>
      <c r="B41" s="71">
        <v>1000000</v>
      </c>
      <c r="C41" s="35">
        <v>46198</v>
      </c>
      <c r="D41" s="34" t="s">
        <v>292</v>
      </c>
      <c r="E41" s="2" t="s">
        <v>293</v>
      </c>
      <c r="F41" s="34" t="s">
        <v>294</v>
      </c>
      <c r="G41" s="2" t="s">
        <v>11</v>
      </c>
    </row>
    <row r="42" spans="1:7">
      <c r="A42">
        <v>39</v>
      </c>
      <c r="B42" s="71">
        <v>500000</v>
      </c>
      <c r="C42" s="35">
        <v>46198</v>
      </c>
      <c r="D42" s="34" t="s">
        <v>295</v>
      </c>
      <c r="E42" s="2" t="s">
        <v>296</v>
      </c>
      <c r="F42" s="34" t="s">
        <v>294</v>
      </c>
      <c r="G42" s="2" t="s">
        <v>11</v>
      </c>
    </row>
    <row r="43" spans="1:7">
      <c r="A43">
        <v>40</v>
      </c>
      <c r="B43" s="71">
        <v>576400</v>
      </c>
      <c r="C43" s="35">
        <v>46199</v>
      </c>
      <c r="D43" s="34" t="s">
        <v>297</v>
      </c>
      <c r="E43" s="2" t="s">
        <v>298</v>
      </c>
      <c r="F43" s="34" t="s">
        <v>299</v>
      </c>
      <c r="G43" s="2" t="s">
        <v>11</v>
      </c>
    </row>
    <row r="44" spans="1:7">
      <c r="A44">
        <v>41</v>
      </c>
      <c r="B44" s="71">
        <v>72700</v>
      </c>
      <c r="C44" s="35">
        <v>46197</v>
      </c>
      <c r="D44" s="34" t="s">
        <v>300</v>
      </c>
      <c r="E44" s="2" t="s">
        <v>300</v>
      </c>
      <c r="F44" s="34" t="s">
        <v>301</v>
      </c>
      <c r="G44" s="2" t="s">
        <v>11</v>
      </c>
    </row>
    <row r="45" spans="1:7">
      <c r="A45">
        <v>42</v>
      </c>
      <c r="B45" s="71">
        <v>153000</v>
      </c>
      <c r="C45" s="35">
        <v>46198</v>
      </c>
      <c r="D45" s="34" t="s">
        <v>302</v>
      </c>
      <c r="E45" s="2" t="s">
        <v>303</v>
      </c>
      <c r="F45" s="34" t="s">
        <v>304</v>
      </c>
      <c r="G45" s="2" t="s">
        <v>11</v>
      </c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14266000</v>
      </c>
      <c r="E4" s="17">
        <f>C5/2</f>
        <v>38117000</v>
      </c>
      <c r="F4" s="17">
        <f>C5/2</f>
        <v>38117000</v>
      </c>
    </row>
    <row r="5" spans="2:8" s="12" customFormat="1" ht="26.25" customHeight="1">
      <c r="B5" s="16" t="s">
        <v>18</v>
      </c>
      <c r="C5" s="17">
        <f>C3-C4</f>
        <v>76234000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38117000</v>
      </c>
      <c r="C9" s="15">
        <v>10800000</v>
      </c>
      <c r="D9" s="14">
        <f>SUM(B9:C9)</f>
        <v>48917000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38117000</v>
      </c>
      <c r="C13" s="15">
        <v>12000000</v>
      </c>
      <c r="D13" s="15">
        <v>2000000</v>
      </c>
      <c r="E13" s="15">
        <f>SUM(B13:D13)</f>
        <v>52117000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38117000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P31"/>
  <sheetViews>
    <sheetView workbookViewId="0">
      <selection activeCell="L1" sqref="L1:L30"/>
    </sheetView>
  </sheetViews>
  <sheetFormatPr defaultRowHeight="14.25"/>
  <cols>
    <col min="1" max="1" width="8" style="46" customWidth="1"/>
    <col min="2" max="2" width="34" style="46" customWidth="1"/>
    <col min="3" max="4" width="12" style="46" customWidth="1"/>
    <col min="5" max="12" width="16" style="46" customWidth="1"/>
    <col min="13" max="14" width="12" style="46" customWidth="1"/>
    <col min="15" max="15" width="10" style="46" customWidth="1"/>
    <col min="16" max="16" width="30" style="46" customWidth="1"/>
    <col min="17" max="16384" width="9" style="46"/>
  </cols>
  <sheetData>
    <row r="1" spans="1:16" ht="15">
      <c r="A1" s="45" t="s">
        <v>149</v>
      </c>
      <c r="B1" s="45" t="s">
        <v>150</v>
      </c>
      <c r="C1" s="45" t="s">
        <v>151</v>
      </c>
      <c r="D1" s="45" t="s">
        <v>152</v>
      </c>
      <c r="E1" s="45" t="s">
        <v>153</v>
      </c>
      <c r="F1" s="45" t="s">
        <v>154</v>
      </c>
      <c r="G1" s="45" t="s">
        <v>155</v>
      </c>
      <c r="H1" s="45" t="s">
        <v>238</v>
      </c>
      <c r="I1" s="45" t="s">
        <v>288</v>
      </c>
      <c r="J1" s="45" t="s">
        <v>289</v>
      </c>
      <c r="K1" s="45" t="s">
        <v>290</v>
      </c>
      <c r="L1" s="45" t="s">
        <v>305</v>
      </c>
      <c r="M1" s="45" t="s">
        <v>156</v>
      </c>
      <c r="N1" s="45" t="s">
        <v>157</v>
      </c>
      <c r="O1" s="45" t="s">
        <v>158</v>
      </c>
      <c r="P1" s="45" t="s">
        <v>159</v>
      </c>
    </row>
    <row r="2" spans="1:16" ht="16.5">
      <c r="A2" s="47">
        <v>1</v>
      </c>
      <c r="B2" s="48" t="s">
        <v>160</v>
      </c>
      <c r="C2" s="47" t="s">
        <v>161</v>
      </c>
      <c r="D2" s="47" t="s">
        <v>162</v>
      </c>
      <c r="E2" s="47" t="s">
        <v>234</v>
      </c>
      <c r="F2" s="47" t="s">
        <v>234</v>
      </c>
      <c r="G2" s="47" t="s">
        <v>234</v>
      </c>
      <c r="H2" s="47" t="s">
        <v>253</v>
      </c>
      <c r="I2" s="47" t="s">
        <v>291</v>
      </c>
      <c r="J2" s="47" t="s">
        <v>234</v>
      </c>
      <c r="K2" s="47" t="s">
        <v>234</v>
      </c>
      <c r="L2" s="47" t="s">
        <v>234</v>
      </c>
      <c r="M2" s="47">
        <f t="shared" ref="M2:M30" si="0">COUNTIF(E2:H2,"참석")+COUNTIF(J2:L2,"참석")</f>
        <v>7</v>
      </c>
      <c r="N2" s="47">
        <f t="shared" ref="N2:N30" si="1">COUNTIF(E2:H2,"참석")+COUNTIF(E2:H2,"불참")+COUNTIF(J2:L2,"참석")+COUNTIF(J2:L2,"불참")</f>
        <v>7</v>
      </c>
      <c r="O2" s="49">
        <f t="shared" ref="O2:O30" si="2">IF(N2=0,"",M2/N2)</f>
        <v>1</v>
      </c>
      <c r="P2" s="48"/>
    </row>
    <row r="3" spans="1:16" ht="16.5">
      <c r="A3" s="47">
        <v>2</v>
      </c>
      <c r="B3" s="48" t="s">
        <v>197</v>
      </c>
      <c r="C3" s="47" t="s">
        <v>163</v>
      </c>
      <c r="D3" s="47" t="s">
        <v>162</v>
      </c>
      <c r="E3" s="47" t="s">
        <v>234</v>
      </c>
      <c r="F3" s="47" t="s">
        <v>234</v>
      </c>
      <c r="G3" s="47" t="s">
        <v>234</v>
      </c>
      <c r="H3" s="47" t="s">
        <v>253</v>
      </c>
      <c r="I3" s="47" t="s">
        <v>291</v>
      </c>
      <c r="J3" s="47" t="s">
        <v>234</v>
      </c>
      <c r="K3" s="47" t="s">
        <v>234</v>
      </c>
      <c r="L3" s="47" t="s">
        <v>234</v>
      </c>
      <c r="M3" s="47">
        <f t="shared" si="0"/>
        <v>7</v>
      </c>
      <c r="N3" s="47">
        <f t="shared" si="1"/>
        <v>7</v>
      </c>
      <c r="O3" s="49">
        <f t="shared" si="2"/>
        <v>1</v>
      </c>
      <c r="P3" s="48"/>
    </row>
    <row r="4" spans="1:16" ht="16.5">
      <c r="A4" s="47">
        <v>3</v>
      </c>
      <c r="B4" s="48" t="s">
        <v>164</v>
      </c>
      <c r="C4" s="47" t="s">
        <v>165</v>
      </c>
      <c r="D4" s="47" t="s">
        <v>166</v>
      </c>
      <c r="E4" s="47" t="s">
        <v>234</v>
      </c>
      <c r="F4" s="47" t="s">
        <v>234</v>
      </c>
      <c r="G4" s="47" t="s">
        <v>234</v>
      </c>
      <c r="H4" s="47" t="s">
        <v>253</v>
      </c>
      <c r="I4" s="47" t="s">
        <v>291</v>
      </c>
      <c r="J4" s="47" t="s">
        <v>234</v>
      </c>
      <c r="K4" s="47" t="s">
        <v>234</v>
      </c>
      <c r="L4" s="47" t="s">
        <v>234</v>
      </c>
      <c r="M4" s="47">
        <f t="shared" si="0"/>
        <v>7</v>
      </c>
      <c r="N4" s="47">
        <f t="shared" si="1"/>
        <v>7</v>
      </c>
      <c r="O4" s="49">
        <f t="shared" si="2"/>
        <v>1</v>
      </c>
      <c r="P4" s="48"/>
    </row>
    <row r="5" spans="1:16" ht="16.5">
      <c r="A5" s="47">
        <v>4</v>
      </c>
      <c r="B5" s="48" t="s">
        <v>167</v>
      </c>
      <c r="C5" s="47" t="s">
        <v>168</v>
      </c>
      <c r="D5" s="47" t="s">
        <v>169</v>
      </c>
      <c r="E5" s="47" t="s">
        <v>234</v>
      </c>
      <c r="F5" s="47" t="s">
        <v>234</v>
      </c>
      <c r="G5" s="47" t="s">
        <v>234</v>
      </c>
      <c r="H5" s="47" t="s">
        <v>253</v>
      </c>
      <c r="I5" s="47"/>
      <c r="J5" s="47" t="s">
        <v>234</v>
      </c>
      <c r="K5" s="47" t="s">
        <v>234</v>
      </c>
      <c r="L5" s="47" t="s">
        <v>234</v>
      </c>
      <c r="M5" s="47">
        <f t="shared" si="0"/>
        <v>7</v>
      </c>
      <c r="N5" s="47">
        <f t="shared" si="1"/>
        <v>7</v>
      </c>
      <c r="O5" s="49">
        <f t="shared" si="2"/>
        <v>1</v>
      </c>
      <c r="P5" s="48"/>
    </row>
    <row r="6" spans="1:16" ht="16.5">
      <c r="A6" s="47">
        <v>5</v>
      </c>
      <c r="B6" s="48" t="s">
        <v>170</v>
      </c>
      <c r="C6" s="47" t="s">
        <v>171</v>
      </c>
      <c r="D6" s="47" t="s">
        <v>172</v>
      </c>
      <c r="E6" s="47" t="s">
        <v>234</v>
      </c>
      <c r="F6" s="47" t="s">
        <v>173</v>
      </c>
      <c r="G6" s="47" t="s">
        <v>234</v>
      </c>
      <c r="H6" s="47" t="s">
        <v>253</v>
      </c>
      <c r="I6" s="47" t="s">
        <v>291</v>
      </c>
      <c r="J6" s="47" t="s">
        <v>234</v>
      </c>
      <c r="K6" s="47" t="s">
        <v>173</v>
      </c>
      <c r="L6" s="47" t="s">
        <v>234</v>
      </c>
      <c r="M6" s="47">
        <f t="shared" si="0"/>
        <v>5</v>
      </c>
      <c r="N6" s="47">
        <f t="shared" si="1"/>
        <v>7</v>
      </c>
      <c r="O6" s="49">
        <f t="shared" si="2"/>
        <v>0.7142857142857143</v>
      </c>
      <c r="P6" s="48"/>
    </row>
    <row r="7" spans="1:16" ht="16.5">
      <c r="A7" s="47">
        <v>6</v>
      </c>
      <c r="B7" s="48" t="s">
        <v>174</v>
      </c>
      <c r="C7" s="47" t="s">
        <v>175</v>
      </c>
      <c r="D7" s="47" t="s">
        <v>176</v>
      </c>
      <c r="E7" s="47" t="s">
        <v>234</v>
      </c>
      <c r="F7" s="47" t="s">
        <v>234</v>
      </c>
      <c r="G7" s="47" t="s">
        <v>234</v>
      </c>
      <c r="H7" s="47" t="s">
        <v>253</v>
      </c>
      <c r="I7" s="47" t="s">
        <v>291</v>
      </c>
      <c r="J7" s="47" t="s">
        <v>234</v>
      </c>
      <c r="K7" s="47" t="s">
        <v>234</v>
      </c>
      <c r="L7" s="47" t="s">
        <v>234</v>
      </c>
      <c r="M7" s="47">
        <f t="shared" si="0"/>
        <v>7</v>
      </c>
      <c r="N7" s="47">
        <f t="shared" si="1"/>
        <v>7</v>
      </c>
      <c r="O7" s="49">
        <f t="shared" si="2"/>
        <v>1</v>
      </c>
      <c r="P7" s="48"/>
    </row>
    <row r="8" spans="1:16" ht="16.5">
      <c r="A8" s="47">
        <v>7</v>
      </c>
      <c r="B8" s="48" t="s">
        <v>177</v>
      </c>
      <c r="C8" s="47" t="s">
        <v>178</v>
      </c>
      <c r="D8" s="47" t="s">
        <v>179</v>
      </c>
      <c r="E8" s="47" t="s">
        <v>173</v>
      </c>
      <c r="F8" s="47" t="s">
        <v>234</v>
      </c>
      <c r="G8" s="47" t="s">
        <v>173</v>
      </c>
      <c r="H8" s="47" t="s">
        <v>253</v>
      </c>
      <c r="I8" s="47"/>
      <c r="J8" s="47" t="s">
        <v>173</v>
      </c>
      <c r="K8" s="47" t="s">
        <v>234</v>
      </c>
      <c r="L8" s="47" t="s">
        <v>173</v>
      </c>
      <c r="M8" s="47">
        <f t="shared" si="0"/>
        <v>3</v>
      </c>
      <c r="N8" s="47">
        <f t="shared" si="1"/>
        <v>7</v>
      </c>
      <c r="O8" s="49">
        <f t="shared" si="2"/>
        <v>0.42857142857142855</v>
      </c>
      <c r="P8" s="48"/>
    </row>
    <row r="9" spans="1:16" ht="16.5">
      <c r="A9" s="47">
        <v>8</v>
      </c>
      <c r="B9" s="48" t="s">
        <v>198</v>
      </c>
      <c r="C9" s="47" t="s">
        <v>199</v>
      </c>
      <c r="D9" s="47" t="s">
        <v>200</v>
      </c>
      <c r="E9" s="47" t="s">
        <v>233</v>
      </c>
      <c r="F9" s="47" t="s">
        <v>233</v>
      </c>
      <c r="G9" s="47" t="s">
        <v>234</v>
      </c>
      <c r="H9" s="47" t="s">
        <v>173</v>
      </c>
      <c r="I9" s="47" t="s">
        <v>291</v>
      </c>
      <c r="J9" s="47" t="s">
        <v>234</v>
      </c>
      <c r="K9" s="47" t="s">
        <v>234</v>
      </c>
      <c r="L9" s="47" t="s">
        <v>234</v>
      </c>
      <c r="M9" s="47">
        <f t="shared" si="0"/>
        <v>4</v>
      </c>
      <c r="N9" s="47">
        <f t="shared" si="1"/>
        <v>5</v>
      </c>
      <c r="O9" s="49">
        <f t="shared" si="2"/>
        <v>0.8</v>
      </c>
      <c r="P9" s="48" t="s">
        <v>240</v>
      </c>
    </row>
    <row r="10" spans="1:16" ht="16.5">
      <c r="A10" s="47">
        <v>9</v>
      </c>
      <c r="B10" s="48" t="s">
        <v>201</v>
      </c>
      <c r="C10" s="47" t="s">
        <v>180</v>
      </c>
      <c r="D10" s="47" t="s">
        <v>181</v>
      </c>
      <c r="E10" s="47" t="s">
        <v>234</v>
      </c>
      <c r="F10" s="47" t="s">
        <v>232</v>
      </c>
      <c r="G10" s="47" t="s">
        <v>234</v>
      </c>
      <c r="H10" s="47" t="s">
        <v>253</v>
      </c>
      <c r="I10" s="47"/>
      <c r="J10" s="47" t="s">
        <v>173</v>
      </c>
      <c r="K10" s="47" t="s">
        <v>173</v>
      </c>
      <c r="L10" s="47" t="s">
        <v>234</v>
      </c>
      <c r="M10" s="47">
        <f t="shared" si="0"/>
        <v>4</v>
      </c>
      <c r="N10" s="47">
        <f t="shared" si="1"/>
        <v>7</v>
      </c>
      <c r="O10" s="49">
        <f t="shared" si="2"/>
        <v>0.5714285714285714</v>
      </c>
      <c r="P10" s="48"/>
    </row>
    <row r="11" spans="1:16" ht="16.5">
      <c r="A11" s="47">
        <v>10</v>
      </c>
      <c r="B11" s="48" t="s">
        <v>182</v>
      </c>
      <c r="C11" s="47" t="s">
        <v>183</v>
      </c>
      <c r="D11" s="47" t="s">
        <v>184</v>
      </c>
      <c r="E11" s="47" t="s">
        <v>234</v>
      </c>
      <c r="F11" s="47" t="s">
        <v>234</v>
      </c>
      <c r="G11" s="47" t="s">
        <v>234</v>
      </c>
      <c r="H11" s="47" t="s">
        <v>173</v>
      </c>
      <c r="I11" s="47"/>
      <c r="J11" s="47" t="s">
        <v>173</v>
      </c>
      <c r="K11" s="47" t="s">
        <v>173</v>
      </c>
      <c r="L11" s="47" t="s">
        <v>173</v>
      </c>
      <c r="M11" s="47">
        <f t="shared" si="0"/>
        <v>3</v>
      </c>
      <c r="N11" s="47">
        <f t="shared" si="1"/>
        <v>7</v>
      </c>
      <c r="O11" s="49">
        <f t="shared" si="2"/>
        <v>0.42857142857142855</v>
      </c>
      <c r="P11" s="48"/>
    </row>
    <row r="12" spans="1:16" ht="16.5">
      <c r="A12" s="47">
        <v>11</v>
      </c>
      <c r="B12" s="48" t="s">
        <v>185</v>
      </c>
      <c r="C12" s="47" t="s">
        <v>186</v>
      </c>
      <c r="D12" s="47" t="s">
        <v>179</v>
      </c>
      <c r="E12" s="47" t="s">
        <v>234</v>
      </c>
      <c r="F12" s="47" t="s">
        <v>234</v>
      </c>
      <c r="G12" s="47" t="s">
        <v>234</v>
      </c>
      <c r="H12" s="47" t="s">
        <v>253</v>
      </c>
      <c r="I12" s="47"/>
      <c r="J12" s="47" t="s">
        <v>173</v>
      </c>
      <c r="K12" s="47" t="s">
        <v>173</v>
      </c>
      <c r="L12" s="47" t="s">
        <v>234</v>
      </c>
      <c r="M12" s="47">
        <f t="shared" si="0"/>
        <v>5</v>
      </c>
      <c r="N12" s="47">
        <f t="shared" si="1"/>
        <v>7</v>
      </c>
      <c r="O12" s="49">
        <f t="shared" si="2"/>
        <v>0.7142857142857143</v>
      </c>
      <c r="P12" s="48"/>
    </row>
    <row r="13" spans="1:16" ht="16.5">
      <c r="A13" s="47">
        <v>12</v>
      </c>
      <c r="B13" s="48" t="s">
        <v>187</v>
      </c>
      <c r="C13" s="47" t="s">
        <v>188</v>
      </c>
      <c r="D13" s="47" t="s">
        <v>181</v>
      </c>
      <c r="E13" s="47" t="s">
        <v>173</v>
      </c>
      <c r="F13" s="47" t="s">
        <v>234</v>
      </c>
      <c r="G13" s="47" t="s">
        <v>234</v>
      </c>
      <c r="H13" s="47" t="s">
        <v>173</v>
      </c>
      <c r="I13" s="47"/>
      <c r="J13" s="47" t="s">
        <v>173</v>
      </c>
      <c r="K13" s="47" t="s">
        <v>173</v>
      </c>
      <c r="L13" s="47" t="s">
        <v>173</v>
      </c>
      <c r="M13" s="47">
        <f t="shared" si="0"/>
        <v>2</v>
      </c>
      <c r="N13" s="47">
        <f t="shared" si="1"/>
        <v>7</v>
      </c>
      <c r="O13" s="49">
        <f t="shared" si="2"/>
        <v>0.2857142857142857</v>
      </c>
      <c r="P13" s="48"/>
    </row>
    <row r="14" spans="1:16" ht="16.5">
      <c r="A14" s="47">
        <v>13</v>
      </c>
      <c r="B14" s="48" t="s">
        <v>202</v>
      </c>
      <c r="C14" s="47" t="s">
        <v>189</v>
      </c>
      <c r="D14" s="47" t="s">
        <v>190</v>
      </c>
      <c r="E14" s="47" t="s">
        <v>232</v>
      </c>
      <c r="F14" s="47" t="s">
        <v>234</v>
      </c>
      <c r="G14" s="47" t="s">
        <v>234</v>
      </c>
      <c r="H14" s="47" t="s">
        <v>173</v>
      </c>
      <c r="I14" s="47"/>
      <c r="J14" s="47" t="s">
        <v>173</v>
      </c>
      <c r="K14" s="47" t="s">
        <v>173</v>
      </c>
      <c r="L14" s="47" t="s">
        <v>173</v>
      </c>
      <c r="M14" s="47">
        <f t="shared" si="0"/>
        <v>2</v>
      </c>
      <c r="N14" s="47">
        <f t="shared" si="1"/>
        <v>7</v>
      </c>
      <c r="O14" s="49">
        <f t="shared" si="2"/>
        <v>0.2857142857142857</v>
      </c>
      <c r="P14" s="48"/>
    </row>
    <row r="15" spans="1:16" ht="16.5">
      <c r="A15" s="47">
        <v>14</v>
      </c>
      <c r="B15" s="48" t="s">
        <v>191</v>
      </c>
      <c r="C15" s="47" t="s">
        <v>192</v>
      </c>
      <c r="D15" s="47" t="s">
        <v>193</v>
      </c>
      <c r="E15" s="47" t="s">
        <v>235</v>
      </c>
      <c r="F15" s="47" t="s">
        <v>234</v>
      </c>
      <c r="G15" s="47" t="s">
        <v>232</v>
      </c>
      <c r="H15" s="47" t="s">
        <v>253</v>
      </c>
      <c r="I15" s="47"/>
      <c r="J15" s="47" t="s">
        <v>234</v>
      </c>
      <c r="K15" s="47" t="s">
        <v>234</v>
      </c>
      <c r="L15" s="47" t="s">
        <v>234</v>
      </c>
      <c r="M15" s="47">
        <f t="shared" si="0"/>
        <v>6</v>
      </c>
      <c r="N15" s="47">
        <f t="shared" si="1"/>
        <v>7</v>
      </c>
      <c r="O15" s="49">
        <f t="shared" si="2"/>
        <v>0.8571428571428571</v>
      </c>
      <c r="P15" s="48"/>
    </row>
    <row r="16" spans="1:16" ht="16.5">
      <c r="A16" s="47">
        <v>15</v>
      </c>
      <c r="B16" s="46" t="s">
        <v>194</v>
      </c>
      <c r="C16" s="50" t="s">
        <v>195</v>
      </c>
      <c r="D16" s="50" t="s">
        <v>196</v>
      </c>
      <c r="E16" s="46" t="s">
        <v>232</v>
      </c>
      <c r="F16" s="46" t="s">
        <v>234</v>
      </c>
      <c r="G16" s="47" t="s">
        <v>232</v>
      </c>
      <c r="H16" s="47" t="s">
        <v>253</v>
      </c>
      <c r="I16" s="47" t="s">
        <v>291</v>
      </c>
      <c r="J16" s="47" t="s">
        <v>173</v>
      </c>
      <c r="K16" s="47" t="s">
        <v>234</v>
      </c>
      <c r="L16" s="47" t="s">
        <v>173</v>
      </c>
      <c r="M16" s="47">
        <f t="shared" si="0"/>
        <v>3</v>
      </c>
      <c r="N16" s="47">
        <f t="shared" si="1"/>
        <v>7</v>
      </c>
      <c r="O16" s="49">
        <f t="shared" si="2"/>
        <v>0.42857142857142855</v>
      </c>
    </row>
    <row r="17" spans="1:16" ht="16.5">
      <c r="A17" s="47">
        <v>16</v>
      </c>
      <c r="B17" s="46" t="s">
        <v>203</v>
      </c>
      <c r="C17" s="50" t="s">
        <v>204</v>
      </c>
      <c r="D17" s="50" t="s">
        <v>162</v>
      </c>
      <c r="E17" s="46" t="s">
        <v>235</v>
      </c>
      <c r="F17" s="46" t="s">
        <v>234</v>
      </c>
      <c r="G17" s="47" t="s">
        <v>234</v>
      </c>
      <c r="H17" s="47" t="s">
        <v>173</v>
      </c>
      <c r="I17" s="47"/>
      <c r="J17" s="47" t="s">
        <v>234</v>
      </c>
      <c r="K17" s="47" t="s">
        <v>234</v>
      </c>
      <c r="L17" s="47" t="s">
        <v>173</v>
      </c>
      <c r="M17" s="47">
        <f t="shared" si="0"/>
        <v>5</v>
      </c>
      <c r="N17" s="47">
        <f t="shared" si="1"/>
        <v>7</v>
      </c>
      <c r="O17" s="49">
        <f t="shared" si="2"/>
        <v>0.7142857142857143</v>
      </c>
    </row>
    <row r="18" spans="1:16" ht="16.5">
      <c r="A18" s="47">
        <v>17</v>
      </c>
      <c r="B18" s="46" t="s">
        <v>205</v>
      </c>
      <c r="C18" s="50" t="s">
        <v>206</v>
      </c>
      <c r="D18" s="50" t="s">
        <v>162</v>
      </c>
      <c r="E18" s="46" t="s">
        <v>235</v>
      </c>
      <c r="F18" s="46" t="s">
        <v>234</v>
      </c>
      <c r="G18" s="47" t="s">
        <v>232</v>
      </c>
      <c r="H18" s="47" t="s">
        <v>173</v>
      </c>
      <c r="I18" s="47"/>
      <c r="J18" s="47" t="s">
        <v>173</v>
      </c>
      <c r="K18" s="47" t="s">
        <v>173</v>
      </c>
      <c r="L18" s="47" t="s">
        <v>234</v>
      </c>
      <c r="M18" s="47">
        <f t="shared" si="0"/>
        <v>3</v>
      </c>
      <c r="N18" s="47">
        <f t="shared" si="1"/>
        <v>7</v>
      </c>
      <c r="O18" s="49">
        <f t="shared" si="2"/>
        <v>0.42857142857142855</v>
      </c>
    </row>
    <row r="19" spans="1:16" ht="16.5">
      <c r="A19" s="47">
        <v>18</v>
      </c>
      <c r="B19" s="46" t="s">
        <v>251</v>
      </c>
      <c r="C19" s="50" t="s">
        <v>236</v>
      </c>
      <c r="D19" s="50" t="s">
        <v>252</v>
      </c>
      <c r="E19" s="46" t="s">
        <v>237</v>
      </c>
      <c r="F19" s="46" t="s">
        <v>237</v>
      </c>
      <c r="G19" s="47" t="s">
        <v>237</v>
      </c>
      <c r="H19" s="47" t="s">
        <v>253</v>
      </c>
      <c r="I19" s="47"/>
      <c r="J19" s="47" t="s">
        <v>234</v>
      </c>
      <c r="K19" s="47" t="s">
        <v>234</v>
      </c>
      <c r="L19" s="47" t="s">
        <v>234</v>
      </c>
      <c r="M19" s="47">
        <f t="shared" si="0"/>
        <v>4</v>
      </c>
      <c r="N19" s="47">
        <f t="shared" si="1"/>
        <v>4</v>
      </c>
      <c r="O19" s="49">
        <f t="shared" si="2"/>
        <v>1</v>
      </c>
      <c r="P19" s="46" t="s">
        <v>239</v>
      </c>
    </row>
    <row r="20" spans="1:16" ht="16.5">
      <c r="A20" s="47">
        <v>19</v>
      </c>
      <c r="B20" s="46" t="s">
        <v>207</v>
      </c>
      <c r="C20" s="50" t="s">
        <v>208</v>
      </c>
      <c r="D20" s="50" t="s">
        <v>209</v>
      </c>
      <c r="E20" s="46" t="s">
        <v>235</v>
      </c>
      <c r="F20" s="46" t="s">
        <v>234</v>
      </c>
      <c r="G20" s="47" t="s">
        <v>234</v>
      </c>
      <c r="H20" s="47" t="s">
        <v>173</v>
      </c>
      <c r="I20" s="47"/>
      <c r="J20" s="47" t="s">
        <v>234</v>
      </c>
      <c r="K20" s="47" t="s">
        <v>234</v>
      </c>
      <c r="L20" s="47" t="s">
        <v>173</v>
      </c>
      <c r="M20" s="47">
        <f t="shared" si="0"/>
        <v>5</v>
      </c>
      <c r="N20" s="47">
        <f t="shared" si="1"/>
        <v>7</v>
      </c>
      <c r="O20" s="49">
        <f t="shared" si="2"/>
        <v>0.7142857142857143</v>
      </c>
    </row>
    <row r="21" spans="1:16" ht="16.5">
      <c r="A21" s="47">
        <v>20</v>
      </c>
      <c r="B21" s="46" t="s">
        <v>210</v>
      </c>
      <c r="C21" s="50" t="s">
        <v>211</v>
      </c>
      <c r="D21" s="50" t="s">
        <v>166</v>
      </c>
      <c r="E21" s="46" t="s">
        <v>232</v>
      </c>
      <c r="F21" s="46" t="s">
        <v>234</v>
      </c>
      <c r="G21" s="47" t="s">
        <v>234</v>
      </c>
      <c r="H21" s="47" t="s">
        <v>253</v>
      </c>
      <c r="I21" s="47"/>
      <c r="J21" s="47" t="s">
        <v>234</v>
      </c>
      <c r="K21" s="47" t="s">
        <v>234</v>
      </c>
      <c r="L21" s="47" t="s">
        <v>234</v>
      </c>
      <c r="M21" s="47">
        <f t="shared" si="0"/>
        <v>6</v>
      </c>
      <c r="N21" s="47">
        <f t="shared" si="1"/>
        <v>7</v>
      </c>
      <c r="O21" s="49">
        <f t="shared" si="2"/>
        <v>0.8571428571428571</v>
      </c>
    </row>
    <row r="22" spans="1:16" ht="16.5">
      <c r="A22" s="47">
        <v>21</v>
      </c>
      <c r="B22" s="46" t="s">
        <v>212</v>
      </c>
      <c r="C22" s="50" t="s">
        <v>213</v>
      </c>
      <c r="D22" s="50" t="s">
        <v>169</v>
      </c>
      <c r="E22" s="46" t="s">
        <v>235</v>
      </c>
      <c r="F22" s="46" t="s">
        <v>232</v>
      </c>
      <c r="G22" s="47" t="s">
        <v>234</v>
      </c>
      <c r="H22" s="47" t="s">
        <v>253</v>
      </c>
      <c r="I22" s="47"/>
      <c r="J22" s="47" t="s">
        <v>173</v>
      </c>
      <c r="K22" s="47" t="s">
        <v>173</v>
      </c>
      <c r="L22" s="47" t="s">
        <v>173</v>
      </c>
      <c r="M22" s="47">
        <f t="shared" si="0"/>
        <v>3</v>
      </c>
      <c r="N22" s="47">
        <f t="shared" si="1"/>
        <v>7</v>
      </c>
      <c r="O22" s="49">
        <f t="shared" si="2"/>
        <v>0.42857142857142855</v>
      </c>
    </row>
    <row r="23" spans="1:16" ht="16.5">
      <c r="A23" s="47">
        <v>22</v>
      </c>
      <c r="B23" s="46" t="s">
        <v>214</v>
      </c>
      <c r="C23" s="50" t="s">
        <v>215</v>
      </c>
      <c r="D23" s="50" t="s">
        <v>216</v>
      </c>
      <c r="E23" s="46" t="s">
        <v>235</v>
      </c>
      <c r="F23" s="46" t="s">
        <v>234</v>
      </c>
      <c r="G23" s="47" t="s">
        <v>232</v>
      </c>
      <c r="H23" s="47" t="s">
        <v>253</v>
      </c>
      <c r="I23" s="47"/>
      <c r="J23" s="47" t="s">
        <v>173</v>
      </c>
      <c r="K23" s="47" t="s">
        <v>234</v>
      </c>
      <c r="L23" s="47" t="s">
        <v>234</v>
      </c>
      <c r="M23" s="47">
        <f t="shared" si="0"/>
        <v>5</v>
      </c>
      <c r="N23" s="47">
        <f t="shared" si="1"/>
        <v>7</v>
      </c>
      <c r="O23" s="49">
        <f t="shared" si="2"/>
        <v>0.7142857142857143</v>
      </c>
    </row>
    <row r="24" spans="1:16" ht="16.5">
      <c r="A24" s="47">
        <v>23</v>
      </c>
      <c r="B24" s="46" t="s">
        <v>217</v>
      </c>
      <c r="C24" s="50" t="s">
        <v>218</v>
      </c>
      <c r="D24" s="50" t="s">
        <v>190</v>
      </c>
      <c r="E24" s="46" t="s">
        <v>232</v>
      </c>
      <c r="F24" s="46" t="s">
        <v>232</v>
      </c>
      <c r="G24" s="47" t="s">
        <v>234</v>
      </c>
      <c r="H24" s="47" t="s">
        <v>173</v>
      </c>
      <c r="I24" s="47" t="s">
        <v>291</v>
      </c>
      <c r="J24" s="47" t="s">
        <v>234</v>
      </c>
      <c r="K24" s="47" t="s">
        <v>173</v>
      </c>
      <c r="L24" s="47" t="s">
        <v>173</v>
      </c>
      <c r="M24" s="47">
        <f t="shared" si="0"/>
        <v>2</v>
      </c>
      <c r="N24" s="47">
        <f t="shared" si="1"/>
        <v>7</v>
      </c>
      <c r="O24" s="49">
        <f t="shared" si="2"/>
        <v>0.2857142857142857</v>
      </c>
    </row>
    <row r="25" spans="1:16" ht="16.5">
      <c r="A25" s="47">
        <v>24</v>
      </c>
      <c r="B25" s="46" t="s">
        <v>219</v>
      </c>
      <c r="C25" s="50" t="s">
        <v>220</v>
      </c>
      <c r="D25" s="50" t="s">
        <v>196</v>
      </c>
      <c r="E25" s="46" t="s">
        <v>235</v>
      </c>
      <c r="F25" s="46" t="s">
        <v>234</v>
      </c>
      <c r="G25" s="47" t="s">
        <v>234</v>
      </c>
      <c r="H25" s="47" t="s">
        <v>253</v>
      </c>
      <c r="I25" s="47"/>
      <c r="J25" s="47" t="s">
        <v>234</v>
      </c>
      <c r="K25" s="47" t="s">
        <v>234</v>
      </c>
      <c r="L25" s="47" t="s">
        <v>234</v>
      </c>
      <c r="M25" s="47">
        <f t="shared" si="0"/>
        <v>7</v>
      </c>
      <c r="N25" s="47">
        <f t="shared" si="1"/>
        <v>7</v>
      </c>
      <c r="O25" s="49">
        <f t="shared" si="2"/>
        <v>1</v>
      </c>
    </row>
    <row r="26" spans="1:16" ht="16.5">
      <c r="A26" s="47">
        <v>25</v>
      </c>
      <c r="B26" s="46" t="s">
        <v>221</v>
      </c>
      <c r="C26" s="50" t="s">
        <v>222</v>
      </c>
      <c r="D26" s="50" t="s">
        <v>196</v>
      </c>
      <c r="E26" s="46" t="s">
        <v>232</v>
      </c>
      <c r="F26" s="46" t="s">
        <v>234</v>
      </c>
      <c r="G26" s="47" t="s">
        <v>232</v>
      </c>
      <c r="H26" s="47" t="s">
        <v>173</v>
      </c>
      <c r="I26" s="47"/>
      <c r="J26" s="47" t="s">
        <v>173</v>
      </c>
      <c r="K26" s="47" t="s">
        <v>173</v>
      </c>
      <c r="L26" s="47" t="s">
        <v>173</v>
      </c>
      <c r="M26" s="47">
        <f t="shared" si="0"/>
        <v>1</v>
      </c>
      <c r="N26" s="47">
        <f t="shared" si="1"/>
        <v>7</v>
      </c>
      <c r="O26" s="49">
        <f t="shared" si="2"/>
        <v>0.14285714285714285</v>
      </c>
    </row>
    <row r="27" spans="1:16" ht="16.5">
      <c r="A27" s="47">
        <v>26</v>
      </c>
      <c r="B27" s="46" t="s">
        <v>223</v>
      </c>
      <c r="C27" s="50" t="s">
        <v>224</v>
      </c>
      <c r="D27" s="50" t="s">
        <v>200</v>
      </c>
      <c r="E27" s="46" t="s">
        <v>235</v>
      </c>
      <c r="F27" s="46" t="s">
        <v>234</v>
      </c>
      <c r="G27" s="47" t="s">
        <v>232</v>
      </c>
      <c r="H27" s="47" t="s">
        <v>253</v>
      </c>
      <c r="I27" s="47"/>
      <c r="J27" s="47" t="s">
        <v>234</v>
      </c>
      <c r="K27" s="47" t="s">
        <v>234</v>
      </c>
      <c r="L27" s="47" t="s">
        <v>234</v>
      </c>
      <c r="M27" s="47">
        <f t="shared" si="0"/>
        <v>6</v>
      </c>
      <c r="N27" s="47">
        <f t="shared" si="1"/>
        <v>7</v>
      </c>
      <c r="O27" s="49">
        <f t="shared" si="2"/>
        <v>0.8571428571428571</v>
      </c>
    </row>
    <row r="28" spans="1:16" ht="16.5">
      <c r="A28" s="47">
        <v>27</v>
      </c>
      <c r="B28" s="46" t="s">
        <v>225</v>
      </c>
      <c r="C28" s="50" t="s">
        <v>226</v>
      </c>
      <c r="D28" s="50" t="s">
        <v>181</v>
      </c>
      <c r="E28" s="46" t="s">
        <v>235</v>
      </c>
      <c r="F28" s="46" t="s">
        <v>234</v>
      </c>
      <c r="G28" s="47" t="s">
        <v>234</v>
      </c>
      <c r="H28" s="47" t="s">
        <v>253</v>
      </c>
      <c r="I28" s="47"/>
      <c r="J28" s="47" t="s">
        <v>234</v>
      </c>
      <c r="K28" s="47" t="s">
        <v>234</v>
      </c>
      <c r="L28" s="47" t="s">
        <v>234</v>
      </c>
      <c r="M28" s="47">
        <f t="shared" si="0"/>
        <v>7</v>
      </c>
      <c r="N28" s="47">
        <f t="shared" si="1"/>
        <v>7</v>
      </c>
      <c r="O28" s="49">
        <f t="shared" si="2"/>
        <v>1</v>
      </c>
    </row>
    <row r="29" spans="1:16" ht="16.5">
      <c r="A29" s="47">
        <v>28</v>
      </c>
      <c r="B29" s="46" t="s">
        <v>227</v>
      </c>
      <c r="C29" s="50" t="s">
        <v>228</v>
      </c>
      <c r="D29" s="50" t="s">
        <v>229</v>
      </c>
      <c r="E29" s="46" t="s">
        <v>235</v>
      </c>
      <c r="F29" s="46" t="s">
        <v>232</v>
      </c>
      <c r="G29" s="47" t="s">
        <v>232</v>
      </c>
      <c r="H29" s="47" t="s">
        <v>253</v>
      </c>
      <c r="I29" s="47"/>
      <c r="J29" s="47" t="s">
        <v>173</v>
      </c>
      <c r="K29" s="47" t="s">
        <v>173</v>
      </c>
      <c r="L29" s="47" t="s">
        <v>173</v>
      </c>
      <c r="M29" s="47">
        <f t="shared" si="0"/>
        <v>2</v>
      </c>
      <c r="N29" s="47">
        <f t="shared" si="1"/>
        <v>7</v>
      </c>
      <c r="O29" s="49">
        <f t="shared" si="2"/>
        <v>0.2857142857142857</v>
      </c>
    </row>
    <row r="30" spans="1:16" ht="16.5">
      <c r="A30" s="47">
        <v>29</v>
      </c>
      <c r="C30" s="50" t="s">
        <v>230</v>
      </c>
      <c r="D30" s="50" t="s">
        <v>231</v>
      </c>
      <c r="E30" s="46" t="s">
        <v>234</v>
      </c>
      <c r="F30" s="46" t="s">
        <v>232</v>
      </c>
      <c r="G30" s="47" t="s">
        <v>232</v>
      </c>
      <c r="H30" s="47" t="s">
        <v>173</v>
      </c>
      <c r="I30" s="47"/>
      <c r="J30" s="47" t="s">
        <v>173</v>
      </c>
      <c r="K30" s="47" t="s">
        <v>173</v>
      </c>
      <c r="L30" s="47" t="s">
        <v>173</v>
      </c>
      <c r="M30" s="47">
        <f t="shared" si="0"/>
        <v>1</v>
      </c>
      <c r="N30" s="47">
        <f t="shared" si="1"/>
        <v>7</v>
      </c>
      <c r="O30" s="49">
        <f t="shared" si="2"/>
        <v>0.14285714285714285</v>
      </c>
    </row>
    <row r="31" spans="1:16" ht="16.5">
      <c r="E31" s="46">
        <f>COUNTIF(E2:E29,"참석")</f>
        <v>19</v>
      </c>
      <c r="F31" s="46">
        <f>COUNTIF(F2:F29,"참석")</f>
        <v>21</v>
      </c>
      <c r="G31" s="46">
        <f>COUNTIF(G2:G29,"참석")</f>
        <v>19</v>
      </c>
      <c r="O31" s="49" t="str">
        <f t="shared" ref="O31" si="3">IF(N31=0,"",M31/N31)</f>
        <v/>
      </c>
    </row>
  </sheetData>
  <autoFilter ref="A1:P31" xr:uid="{C0625D6E-2678-482C-88B1-4B31BC9434B5}">
    <sortState xmlns:xlrd2="http://schemas.microsoft.com/office/spreadsheetml/2017/richdata2" ref="A2:P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2026-06-29T09:00:40Z</dcterms:modified>
</cp:coreProperties>
</file>