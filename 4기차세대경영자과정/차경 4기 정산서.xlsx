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wnloads\03_교육운영\2026\제 4회 차세대 경영자 아카데미\02_결재\"/>
    </mc:Choice>
  </mc:AlternateContent>
  <xr:revisionPtr revIDLastSave="0" documentId="13_ncr:1_{5C521794-E463-4BAC-8463-4F801133109F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출석현황'!$A$1:$L$31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1" l="1"/>
  <c r="A26" i="1"/>
  <c r="A27" i="1"/>
  <c r="A28" i="1"/>
  <c r="B29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I19" i="14"/>
  <c r="J19" i="14"/>
  <c r="K19" i="14" s="1"/>
  <c r="K31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20" i="14"/>
  <c r="K20" i="14" s="1"/>
  <c r="J21" i="14"/>
  <c r="J22" i="14"/>
  <c r="J23" i="14"/>
  <c r="J24" i="14"/>
  <c r="K24" i="14" s="1"/>
  <c r="J25" i="14"/>
  <c r="J26" i="14"/>
  <c r="J27" i="14"/>
  <c r="J28" i="14"/>
  <c r="K28" i="14" s="1"/>
  <c r="J29" i="14"/>
  <c r="J30" i="14"/>
  <c r="J2" i="14"/>
  <c r="I16" i="14"/>
  <c r="I17" i="14"/>
  <c r="I18" i="14"/>
  <c r="I20" i="14"/>
  <c r="I21" i="14"/>
  <c r="I22" i="14"/>
  <c r="I23" i="14"/>
  <c r="I24" i="14"/>
  <c r="I25" i="14"/>
  <c r="I26" i="14"/>
  <c r="I27" i="14"/>
  <c r="I28" i="14"/>
  <c r="I29" i="14"/>
  <c r="I30" i="14"/>
  <c r="I3" i="14"/>
  <c r="I4" i="14"/>
  <c r="I5" i="14"/>
  <c r="I6" i="14"/>
  <c r="I7" i="14"/>
  <c r="I8" i="14"/>
  <c r="I9" i="14"/>
  <c r="I10" i="14"/>
  <c r="I11" i="14"/>
  <c r="I12" i="14"/>
  <c r="I13" i="14"/>
  <c r="K13" i="14" s="1"/>
  <c r="I14" i="14"/>
  <c r="I15" i="14"/>
  <c r="I2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K29" i="14" l="1"/>
  <c r="K25" i="14"/>
  <c r="K21" i="14"/>
  <c r="K16" i="14"/>
  <c r="K27" i="14"/>
  <c r="K23" i="14"/>
  <c r="K18" i="14"/>
  <c r="K30" i="14"/>
  <c r="K26" i="14"/>
  <c r="K22" i="14"/>
  <c r="K17" i="14"/>
  <c r="K11" i="14"/>
  <c r="K10" i="14"/>
  <c r="K2" i="14"/>
  <c r="K8" i="14"/>
  <c r="K6" i="14"/>
  <c r="K14" i="14"/>
  <c r="K3" i="14"/>
  <c r="K5" i="14"/>
  <c r="K4" i="14"/>
  <c r="K7" i="14"/>
  <c r="K9" i="14"/>
  <c r="K12" i="14"/>
  <c r="K15" i="14"/>
  <c r="B5" i="9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<sst xmlns="http://schemas.openxmlformats.org/spreadsheetml/2006/main" count="524" uniqueCount="267">
  <si>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</si>
  <si>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</si>
  <si>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</si>
  <si>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</si>
  <si>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</si>
  <si>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</si>
  <si>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</si>
  <si>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</si>
  <si>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</si>
  <si>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</si>
  <si>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</si>
  <si>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</si>
  <si>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</si>
  <si>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</si>
  <si>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</si>
  <si>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</si>
  <si>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</si>
  <si>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</si>
  <si>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</si>
  <si>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</si>
  <si>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</si>
  <si>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</si>
  <si>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</si>
  <si>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</si>
  <si>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</si>
  <si>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</si>
  <si>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</si>
  <si>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</si>
  <si>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</si>
  <si>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</si>
  <si>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</si>
  <si>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</si>
  <si>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</si>
  <si>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</si>
  <si>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</si>
  <si>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</si>
  <si>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</si>
  <si>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</si>
  <si>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</si>
  <si>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</si>
  <si>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</si>
  <si>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</si>
  <si>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</si>
  <si>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</si>
  <si>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</si>
  <si>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</si>
  <si>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</si>
  <si>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</si>
  <si>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</si>
  <si>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</si>
  <si>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</si>
  <si>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</si>
  <si>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</si>
  <si>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</si>
  <si>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</si>
  <si>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</si>
  <si>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</si>
  <si>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</si>
  <si>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</si>
  <si>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</si>
  <si>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</si>
  <si>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</si>
  <si>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</si>
  <si>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</si>
  <si>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</si>
  <si>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</si>
  <si>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</si>
  <si>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</si>
  <si>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</si>
  <si>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</si>
  <si>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</si>
  <si>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</si>
  <si>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</si>
  <si>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</si>
  <si>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</si>
  <si>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</si>
  <si>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</si>
  <si>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</si>
  <si>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</si>
  <si>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</si>
  <si>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</si>
  <si>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</si>
  <si>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</si>
  <si>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</si>
  <si>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</si>
  <si>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</si>
  <si>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</si>
  <si>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</si>
  <si>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</si>
  <si>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</si>
  <si>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</si>
  <si>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</si>
  <si>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</si>
  <si>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</si>
  <si>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</si>
  <si>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</si>
  <si>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</si>
  <si>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</si>
  <si>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</si>
  <si>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</si>
  <si>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</si>
  <si>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</si>
  <si>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</si>
  <si>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</si>
  <si>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</si>
  <si>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</si>
  <si>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</si>
  <si>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</si>
  <si>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</si>
  <si>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</si>
  <si>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</si>
  <si>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</si>
  <si>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</si>
  <si>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</si>
  <si>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</si>
  <si>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</si>
  <si>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</si>
  <si>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</si>
  <si>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</si>
  <si>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</si>
  <si>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</si>
  <si>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</si>
  <si>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</si>
  <si>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</si>
  <si>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</si>
  <si>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</si>
  <si>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</si>
  <si>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</si>
  <si>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</si>
  <si>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</si>
  <si>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</si>
  <si>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</si>
  <si>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</si>
  <si>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</si>
  <si>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</si>
  <si>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</si>
  <si>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</si>
  <si>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</si>
  <si>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</si>
  <si>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</si>
  <si>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</si>
  <si>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</si>
  <si>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</si>
  <si>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</si>
  <si>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</si>
  <si>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</si>
  <si>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</si>
  <si>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</si>
  <si>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</si>
  <si>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합계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</si>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</sst>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82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14" fontId="10" fillId="0" borderId="0" xfId="1" applyNumberFormat="1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19" fillId="2" borderId="1" xfId="1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14" fontId="0" fillId="0" borderId="0" xfId="1" applyNumberFormat="1" applyFont="1" applyBorder="1">
      <alignment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41" fontId="10" fillId="0" borderId="0" xfId="1" applyFont="1" applyBorder="1">
      <alignment vertical="center"/>
    </xf>
    <xf numFmtId="41" fontId="0" fillId="0" borderId="0" xfId="0" applyNumberFormat="1" applyBorder="1" applyAlignment="1">
      <alignment horizontal="left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4" dataDxfId="13" headerRowBorderDxfId="11" tableBorderDxfId="12" totalsRowBorderDxfId="10">
  <autoFilter ref="A3:G28" xr:uid="{F37A924D-4739-4466-82F0-060C7C7F369C}"/>
  <tableColumns count="7">
    <tableColumn id="1" xr3:uid="{4F8A6A33-04D1-479E-861B-D3FBAB17312B}" name="번호" dataDxfId="9">
      <calculatedColumnFormula>ROW()-ROW($A$3)</calculatedColumnFormula>
    </tableColumn>
    <tableColumn id="2" xr3:uid="{4E5B67DB-07B3-460B-A826-0D305FABC976}" name="금액" dataDxfId="8" dataCellStyle="쉼표 [0]"/>
    <tableColumn id="3" xr3:uid="{E7B0A6B7-64CD-4FDF-83DA-5CF7F2853E97}" name="일자" dataDxfId="7" dataCellStyle="쉼표 [0]"/>
    <tableColumn id="4" xr3:uid="{6228C10C-B924-48E4-9CC2-C07023CA6BF0}" name="내역" dataDxfId="6"/>
    <tableColumn id="5" xr3:uid="{0C4D9457-EB43-42B2-AF5F-4AF4AEEE4A1C}" name="대분류" dataDxfId="5"/>
    <tableColumn id="6" xr3:uid="{93D6AE5C-3CCC-429F-9946-64BF3FA52CAC}" name="거래처" dataDxfId="4"/>
    <tableColumn id="7" xr3:uid="{D175CF7B-20BC-4FE0-8D61-043EF1DF6C3A}" name="차수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53" t="s">
        <v>105</v>
      </c>
      <c r="B1" s="54"/>
      <c r="C1" s="54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53" t="s">
        <v>242</v>
      </c>
      <c r="B1" s="53"/>
      <c r="C1" s="53"/>
      <c r="D1" s="53"/>
      <c r="E1" s="53"/>
      <c r="F1" s="53"/>
      <c r="G1" s="53"/>
    </row>
    <row r="2" spans="1:7" ht="11.25" customHeight="1">
      <c r="A2" s="52"/>
      <c r="B2" s="52"/>
      <c r="C2" s="52"/>
      <c r="D2" s="52"/>
      <c r="E2" s="52"/>
      <c r="F2" s="52"/>
      <c r="G2" s="52"/>
    </row>
    <row r="3" spans="1:7" ht="19.5">
      <c r="A3" s="4" t="s">
        <v>1</v>
      </c>
      <c r="B3" s="55" t="s">
        <v>2</v>
      </c>
      <c r="C3" s="3" t="s">
        <v>243</v>
      </c>
    </row>
    <row r="4" spans="1:7">
      <c r="A4" s="59">
        <v>2800000</v>
      </c>
      <c r="B4" s="56" t="s">
        <v>162</v>
      </c>
      <c r="C4" t="s">
        <v>247</v>
      </c>
    </row>
    <row r="5" spans="1:7">
      <c r="A5" s="59">
        <v>2800000</v>
      </c>
      <c r="B5" s="56" t="s">
        <v>164</v>
      </c>
      <c r="C5" t="s">
        <v>247</v>
      </c>
    </row>
    <row r="6" spans="1:7">
      <c r="A6" s="59">
        <v>2800000</v>
      </c>
      <c r="B6" s="56" t="s">
        <v>166</v>
      </c>
      <c r="C6" t="s">
        <v>247</v>
      </c>
    </row>
    <row r="7" spans="1:7">
      <c r="A7" s="59">
        <v>2800000</v>
      </c>
      <c r="B7" s="56" t="s">
        <v>169</v>
      </c>
      <c r="C7" t="s">
        <v>247</v>
      </c>
    </row>
    <row r="8" spans="1:7">
      <c r="A8" s="59">
        <v>2800000</v>
      </c>
      <c r="B8" s="56" t="s">
        <v>172</v>
      </c>
      <c r="C8" t="s">
        <v>247</v>
      </c>
    </row>
    <row r="9" spans="1:7">
      <c r="A9" s="63">
        <v>2800000</v>
      </c>
      <c r="B9" s="57" t="s">
        <v>176</v>
      </c>
      <c r="C9" t="s">
        <v>247</v>
      </c>
    </row>
    <row r="10" spans="1:7">
      <c r="A10" s="63">
        <v>2800000</v>
      </c>
      <c r="B10" s="57" t="s">
        <v>244</v>
      </c>
      <c r="C10" t="s">
        <v>247</v>
      </c>
    </row>
    <row r="11" spans="1:7">
      <c r="A11" s="64">
        <v>2800000</v>
      </c>
      <c r="B11" s="58" t="s">
        <v>245</v>
      </c>
      <c r="C11" t="s">
        <v>247</v>
      </c>
    </row>
    <row r="12" spans="1:7">
      <c r="A12" s="59">
        <v>2800000</v>
      </c>
      <c r="B12" s="56" t="s">
        <v>181</v>
      </c>
      <c r="C12" t="s">
        <v>247</v>
      </c>
    </row>
    <row r="13" spans="1:7">
      <c r="A13" s="59">
        <v>3500000</v>
      </c>
      <c r="B13" s="56" t="s">
        <v>184</v>
      </c>
      <c r="C13" t="s">
        <v>247</v>
      </c>
    </row>
    <row r="14" spans="1:7">
      <c r="A14" s="59">
        <v>2800000</v>
      </c>
      <c r="B14" s="56" t="s">
        <v>187</v>
      </c>
      <c r="C14" t="s">
        <v>247</v>
      </c>
    </row>
    <row r="15" spans="1:7">
      <c r="A15" s="59">
        <v>2800000</v>
      </c>
      <c r="B15" s="56" t="s">
        <v>189</v>
      </c>
      <c r="C15" t="s">
        <v>247</v>
      </c>
    </row>
    <row r="16" spans="1:7">
      <c r="A16" s="59">
        <v>3500000</v>
      </c>
      <c r="B16" s="56" t="s">
        <v>190</v>
      </c>
      <c r="C16" t="s">
        <v>247</v>
      </c>
    </row>
    <row r="17" spans="1:3">
      <c r="A17" s="59">
        <v>2800000</v>
      </c>
      <c r="B17" s="56" t="s">
        <v>193</v>
      </c>
      <c r="C17" t="s">
        <v>247</v>
      </c>
    </row>
    <row r="18" spans="1:3">
      <c r="A18" s="59">
        <v>3400000</v>
      </c>
      <c r="B18" s="56" t="s">
        <v>196</v>
      </c>
      <c r="C18" t="s">
        <v>247</v>
      </c>
    </row>
    <row r="19" spans="1:3">
      <c r="A19" s="59">
        <v>2800000</v>
      </c>
      <c r="B19" s="56" t="s">
        <v>205</v>
      </c>
      <c r="C19" t="s">
        <v>247</v>
      </c>
    </row>
    <row r="20" spans="1:3">
      <c r="A20" s="59">
        <v>2800000</v>
      </c>
      <c r="B20" s="56" t="s">
        <v>207</v>
      </c>
      <c r="C20" t="s">
        <v>247</v>
      </c>
    </row>
    <row r="21" spans="1:3">
      <c r="A21" s="59">
        <v>2800000</v>
      </c>
      <c r="B21" s="57" t="s">
        <v>246</v>
      </c>
      <c r="C21" t="s">
        <v>247</v>
      </c>
    </row>
    <row r="22" spans="1:3">
      <c r="A22" s="59">
        <v>2800000</v>
      </c>
      <c r="B22" s="56" t="s">
        <v>209</v>
      </c>
      <c r="C22" t="s">
        <v>247</v>
      </c>
    </row>
    <row r="23" spans="1:3">
      <c r="A23" s="59">
        <v>2800000</v>
      </c>
      <c r="B23" s="56" t="s">
        <v>212</v>
      </c>
      <c r="C23" t="s">
        <v>247</v>
      </c>
    </row>
    <row r="24" spans="1:3">
      <c r="A24" s="59">
        <v>2800000</v>
      </c>
      <c r="B24" s="56" t="s">
        <v>214</v>
      </c>
      <c r="C24" t="s">
        <v>247</v>
      </c>
    </row>
    <row r="25" spans="1:3">
      <c r="A25" s="59">
        <v>2800000</v>
      </c>
      <c r="B25" s="56" t="s">
        <v>216</v>
      </c>
      <c r="C25" t="s">
        <v>247</v>
      </c>
    </row>
    <row r="26" spans="1:3">
      <c r="A26" s="59">
        <v>2800000</v>
      </c>
      <c r="B26" s="56" t="s">
        <v>219</v>
      </c>
      <c r="C26" t="s">
        <v>247</v>
      </c>
    </row>
    <row r="27" spans="1:3">
      <c r="A27" s="59">
        <v>2800000</v>
      </c>
      <c r="B27" s="56" t="s">
        <v>221</v>
      </c>
      <c r="C27" t="s">
        <v>247</v>
      </c>
    </row>
    <row r="28" spans="1:3">
      <c r="A28" s="59">
        <v>2800000</v>
      </c>
      <c r="B28" s="56" t="s">
        <v>223</v>
      </c>
      <c r="C28" t="s">
        <v>247</v>
      </c>
    </row>
    <row r="29" spans="1:3">
      <c r="A29" s="59">
        <v>3400000</v>
      </c>
      <c r="B29" s="56" t="s">
        <v>225</v>
      </c>
      <c r="C29" t="s">
        <v>247</v>
      </c>
    </row>
    <row r="30" spans="1:3">
      <c r="A30" s="59">
        <v>2800000</v>
      </c>
      <c r="B30" s="56" t="s">
        <v>227</v>
      </c>
      <c r="C30" t="s">
        <v>247</v>
      </c>
    </row>
    <row r="31" spans="1:3">
      <c r="A31" s="59">
        <v>2800000</v>
      </c>
      <c r="B31" s="56" t="s">
        <v>229</v>
      </c>
      <c r="C31" t="s">
        <v>247</v>
      </c>
    </row>
    <row r="32" spans="1:3">
      <c r="A32" s="59">
        <v>1090000</v>
      </c>
      <c r="B32" s="56" t="s">
        <v>162</v>
      </c>
      <c r="C32" t="s">
        <v>250</v>
      </c>
    </row>
    <row r="33" spans="1:3">
      <c r="A33" s="59">
        <v>1090000</v>
      </c>
      <c r="B33" s="56" t="s">
        <v>164</v>
      </c>
      <c r="C33" t="s">
        <v>250</v>
      </c>
    </row>
    <row r="34" spans="1:3">
      <c r="A34" s="59">
        <v>990000</v>
      </c>
      <c r="B34" s="56" t="s">
        <v>166</v>
      </c>
      <c r="C34" t="s">
        <v>249</v>
      </c>
    </row>
    <row r="35" spans="1:3">
      <c r="A35" s="59">
        <v>990000</v>
      </c>
      <c r="B35" s="56" t="s">
        <v>169</v>
      </c>
      <c r="C35" t="s">
        <v>249</v>
      </c>
    </row>
    <row r="36" spans="1:3">
      <c r="A36" s="59">
        <v>990000</v>
      </c>
      <c r="B36" s="56" t="s">
        <v>172</v>
      </c>
      <c r="C36" t="s">
        <v>249</v>
      </c>
    </row>
    <row r="37" spans="1:3">
      <c r="A37" s="60">
        <v>1090000</v>
      </c>
      <c r="B37" s="57" t="s">
        <v>176</v>
      </c>
      <c r="C37" t="s">
        <v>250</v>
      </c>
    </row>
    <row r="38" spans="1:3">
      <c r="A38" s="59">
        <v>167000</v>
      </c>
      <c r="B38" s="57" t="s">
        <v>244</v>
      </c>
      <c r="C38" t="s">
        <v>249</v>
      </c>
    </row>
    <row r="39" spans="1:3">
      <c r="A39" s="59">
        <v>1090000</v>
      </c>
      <c r="B39" s="58" t="s">
        <v>245</v>
      </c>
      <c r="C39" t="s">
        <v>250</v>
      </c>
    </row>
    <row r="40" spans="1:3">
      <c r="A40" s="61">
        <v>1090000</v>
      </c>
      <c r="B40" s="56" t="s">
        <v>181</v>
      </c>
      <c r="C40" t="s">
        <v>250</v>
      </c>
    </row>
    <row r="41" spans="1:3">
      <c r="A41" s="59">
        <v>1090000</v>
      </c>
      <c r="B41" s="56" t="s">
        <v>196</v>
      </c>
      <c r="C41" t="s">
        <v>250</v>
      </c>
    </row>
    <row r="42" spans="1:3">
      <c r="A42" s="59">
        <v>1090000</v>
      </c>
      <c r="B42" s="56" t="s">
        <v>205</v>
      </c>
      <c r="C42" t="s">
        <v>250</v>
      </c>
    </row>
    <row r="43" spans="1:3">
      <c r="A43" s="59">
        <v>1090000</v>
      </c>
      <c r="B43" s="56" t="s">
        <v>219</v>
      </c>
      <c r="C43" t="s">
        <v>250</v>
      </c>
    </row>
    <row r="44" spans="1:3">
      <c r="A44" s="59">
        <v>1090000</v>
      </c>
      <c r="B44" s="56" t="s">
        <v>221</v>
      </c>
      <c r="C44" t="s">
        <v>250</v>
      </c>
    </row>
    <row r="45" spans="1:3">
      <c r="A45" s="59">
        <v>448080</v>
      </c>
      <c r="B45" s="56" t="s">
        <v>229</v>
      </c>
      <c r="C45" t="s">
        <v>249</v>
      </c>
    </row>
    <row r="46" spans="1:3">
      <c r="A46" s="62">
        <v>1600000</v>
      </c>
      <c r="B46" s="65" t="s">
        <v>248</v>
      </c>
      <c r="C46" t="s">
        <v>250</v>
      </c>
    </row>
    <row r="47" spans="1:3">
      <c r="A47" s="70">
        <f>SUM(A4:A46)</f>
        <v>95995080</v>
      </c>
    </row>
  </sheetData>
  <mergeCells count="1">
    <mergeCell ref="A1:G1"/>
  </mergeCells>
  <phoneticPr fontId="2" type="noConversion"/>
  <conditionalFormatting sqref="A9:A10">
    <cfRule type="containsText" dxfId="2" priority="3" operator="containsText" text="x">
      <formula>NOT(ISERROR(SEARCH("x",A9)))</formula>
    </cfRule>
  </conditionalFormatting>
  <conditionalFormatting sqref="B9:B10">
    <cfRule type="containsText" dxfId="1" priority="2" operator="containsText" text="x">
      <formula>NOT(ISERROR(SEARCH("x",B9)))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53" t="s">
        <v>105</v>
      </c>
      <c r="B1" s="53"/>
      <c r="C1" s="53"/>
      <c r="D1" s="53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3411500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14563500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33"/>
  <sheetViews>
    <sheetView tabSelected="1" zoomScaleNormal="100" workbookViewId="0">
      <selection sqref="A1:G1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53" t="s">
        <v>105</v>
      </c>
      <c r="B1" s="53"/>
      <c r="C1" s="53"/>
      <c r="D1" s="53"/>
      <c r="E1" s="53"/>
      <c r="F1" s="53"/>
      <c r="G1" s="53"/>
    </row>
    <row r="2" spans="1:7">
      <c r="F2" s="2"/>
    </row>
    <row r="3" spans="1:7" ht="30.75" customHeight="1">
      <c r="A3" s="39" t="s">
        <v>0</v>
      </c>
      <c r="B3" s="40" t="s">
        <v>1</v>
      </c>
      <c r="C3" s="41" t="s">
        <v>108</v>
      </c>
      <c r="D3" s="42" t="s">
        <v>2</v>
      </c>
      <c r="E3" s="42" t="s">
        <v>32</v>
      </c>
      <c r="F3" s="42" t="s">
        <v>19</v>
      </c>
      <c r="G3" s="43" t="s">
        <v>3</v>
      </c>
    </row>
    <row r="4" spans="1:7" ht="30.75" customHeight="1">
      <c r="A4" s="44">
        <f>ROW()-ROW($A$3)</f>
        <v>1</v>
      </c>
      <c r="B4" s="45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4">
        <f t="shared" ref="A5:A6" si="0">ROW()-ROW($A$3)</f>
        <v>2</v>
      </c>
      <c r="B5" s="45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4">
        <f t="shared" si="0"/>
        <v>3</v>
      </c>
      <c r="B6" s="45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4">
        <f t="shared" ref="A7:A11" si="1">ROW()-ROW($A$3)</f>
        <v>4</v>
      </c>
      <c r="B7" s="45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4">
        <f t="shared" si="1"/>
        <v>5</v>
      </c>
      <c r="B8" s="45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4">
        <f t="shared" si="1"/>
        <v>6</v>
      </c>
      <c r="B9" s="45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4">
        <f t="shared" si="1"/>
        <v>7</v>
      </c>
      <c r="B10" s="45">
        <v>464200</v>
      </c>
      <c r="C10" s="36">
        <v>46141</v>
      </c>
      <c r="D10" s="38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4">
        <f t="shared" si="1"/>
        <v>8</v>
      </c>
      <c r="B11" s="45">
        <v>52500</v>
      </c>
      <c r="C11" s="36">
        <v>46156</v>
      </c>
      <c r="D11" s="38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4">
        <f t="shared" ref="A12:A16" si="2">ROW()-ROW($A$3)</f>
        <v>9</v>
      </c>
      <c r="B12" s="45">
        <v>1000</v>
      </c>
      <c r="C12" s="36">
        <v>46156</v>
      </c>
      <c r="D12" s="38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4">
        <f t="shared" si="2"/>
        <v>10</v>
      </c>
      <c r="B13" s="45">
        <v>358000</v>
      </c>
      <c r="C13" s="36">
        <v>46156</v>
      </c>
      <c r="D13" s="38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4">
        <f t="shared" si="2"/>
        <v>11</v>
      </c>
      <c r="B14" s="45">
        <v>3000000</v>
      </c>
      <c r="C14" s="36">
        <v>46156</v>
      </c>
      <c r="D14" s="38" t="s">
        <v>148</v>
      </c>
      <c r="E14" s="22" t="s">
        <v>137</v>
      </c>
      <c r="F14" s="33"/>
      <c r="G14" s="22" t="s">
        <v>138</v>
      </c>
    </row>
    <row r="15" spans="1:7" ht="30.75" customHeight="1">
      <c r="A15" s="44">
        <f t="shared" si="2"/>
        <v>12</v>
      </c>
      <c r="B15" s="45">
        <v>14500</v>
      </c>
      <c r="C15" s="36">
        <v>46163</v>
      </c>
      <c r="D15" s="38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4">
        <f t="shared" si="2"/>
        <v>13</v>
      </c>
      <c r="B16" s="45">
        <v>24000</v>
      </c>
      <c r="C16" s="36">
        <v>46163</v>
      </c>
      <c r="D16" s="38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4">
        <f>ROW()-ROW($A$3)</f>
        <v>14</v>
      </c>
      <c r="B17" s="45">
        <v>25600</v>
      </c>
      <c r="C17" s="36">
        <v>46163</v>
      </c>
      <c r="D17" s="38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4">
        <f>ROW()-ROW($A$3)</f>
        <v>15</v>
      </c>
      <c r="B18" s="45">
        <v>393000</v>
      </c>
      <c r="C18" s="36">
        <v>46163</v>
      </c>
      <c r="D18" s="38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4">
        <f>ROW()-ROW($A$3)</f>
        <v>16</v>
      </c>
      <c r="B19" s="45">
        <v>2750000</v>
      </c>
      <c r="C19" s="36">
        <v>46163</v>
      </c>
      <c r="D19" s="38" t="s">
        <v>146</v>
      </c>
      <c r="E19" s="22" t="s">
        <v>144</v>
      </c>
      <c r="F19" s="33"/>
      <c r="G19" s="22" t="s">
        <v>134</v>
      </c>
    </row>
    <row r="20" spans="1:7" ht="30.75" customHeight="1">
      <c r="A20" s="44">
        <f>ROW()-ROW($A$3)</f>
        <v>17</v>
      </c>
      <c r="B20" s="45">
        <v>1000000</v>
      </c>
      <c r="C20" s="36">
        <v>46163</v>
      </c>
      <c r="D20" s="38" t="s">
        <v>147</v>
      </c>
      <c r="E20" s="22" t="s">
        <v>145</v>
      </c>
      <c r="F20" s="33"/>
      <c r="G20" s="22" t="s">
        <v>134</v>
      </c>
    </row>
    <row r="21" spans="1:7" ht="30.75" customHeight="1">
      <c r="A21" s="44">
        <f t="shared" ref="A21:A25" si="3">ROW()-ROW($A$3)</f>
        <v>18</v>
      </c>
      <c r="B21" s="66">
        <v>1000000</v>
      </c>
      <c r="C21" s="67">
        <v>46170</v>
      </c>
      <c r="D21" s="38" t="s">
        <v>147</v>
      </c>
      <c r="E21" s="22" t="s">
        <v>121</v>
      </c>
      <c r="F21" s="68"/>
      <c r="G21" s="69" t="s">
        <v>251</v>
      </c>
    </row>
    <row r="22" spans="1:7" ht="30.75" customHeight="1">
      <c r="A22" s="44">
        <f t="shared" si="3"/>
        <v>19</v>
      </c>
      <c r="B22" s="66">
        <v>2000000</v>
      </c>
      <c r="C22" s="67">
        <v>46170</v>
      </c>
      <c r="D22" s="68" t="s">
        <v>255</v>
      </c>
      <c r="E22" s="22" t="s">
        <v>120</v>
      </c>
      <c r="F22" s="68"/>
      <c r="G22" s="69" t="s">
        <v>251</v>
      </c>
    </row>
    <row r="23" spans="1:7" ht="30.75" customHeight="1">
      <c r="A23" s="44">
        <f t="shared" si="3"/>
        <v>20</v>
      </c>
      <c r="B23" s="66">
        <v>380600</v>
      </c>
      <c r="C23" s="67">
        <v>46170</v>
      </c>
      <c r="D23" s="68" t="s">
        <v>256</v>
      </c>
      <c r="E23" s="68" t="s">
        <v>257</v>
      </c>
      <c r="F23" s="68" t="s">
        <v>127</v>
      </c>
      <c r="G23" s="69" t="s">
        <v>251</v>
      </c>
    </row>
    <row r="24" spans="1:7" ht="30.75" customHeight="1">
      <c r="A24" s="44">
        <f t="shared" si="3"/>
        <v>21</v>
      </c>
      <c r="B24" s="66">
        <v>22200</v>
      </c>
      <c r="C24" s="67">
        <v>46170</v>
      </c>
      <c r="D24" s="68" t="s">
        <v>259</v>
      </c>
      <c r="E24" s="68" t="s">
        <v>258</v>
      </c>
      <c r="F24" s="68" t="s">
        <v>110</v>
      </c>
      <c r="G24" s="69" t="s">
        <v>251</v>
      </c>
    </row>
    <row r="25" spans="1:7" ht="30.75" customHeight="1">
      <c r="A25" s="44">
        <f t="shared" si="3"/>
        <v>22</v>
      </c>
      <c r="B25" s="66">
        <v>37000</v>
      </c>
      <c r="C25" s="67">
        <v>46170</v>
      </c>
      <c r="D25" s="68" t="s">
        <v>260</v>
      </c>
      <c r="E25" s="68" t="s">
        <v>258</v>
      </c>
      <c r="F25" s="68" t="s">
        <v>113</v>
      </c>
      <c r="G25" s="69" t="s">
        <v>251</v>
      </c>
    </row>
    <row r="26" spans="1:7" ht="30.75" customHeight="1">
      <c r="A26" s="44">
        <f>ROW()-ROW($A$3)</f>
        <v>23</v>
      </c>
      <c r="B26" s="73">
        <v>105000</v>
      </c>
      <c r="C26" s="71">
        <v>46170</v>
      </c>
      <c r="D26" s="72" t="s">
        <v>265</v>
      </c>
      <c r="E26" s="72" t="s">
        <v>261</v>
      </c>
      <c r="F26" s="72" t="s">
        <v>262</v>
      </c>
      <c r="G26" s="72" t="s">
        <v>251</v>
      </c>
    </row>
    <row r="27" spans="1:7" ht="30.75" customHeight="1">
      <c r="A27" s="44">
        <f>ROW()-ROW($A$3)</f>
        <v>24</v>
      </c>
      <c r="B27" s="73">
        <v>175100</v>
      </c>
      <c r="C27" s="71">
        <v>46170</v>
      </c>
      <c r="D27" s="72" t="s">
        <v>264</v>
      </c>
      <c r="E27" s="72" t="s">
        <v>261</v>
      </c>
      <c r="F27" s="72" t="s">
        <v>263</v>
      </c>
      <c r="G27" s="72" t="s">
        <v>251</v>
      </c>
    </row>
    <row r="28" spans="1:7" ht="30.75" customHeight="1">
      <c r="A28" s="44">
        <f>ROW()-ROW($A$3)</f>
        <v>25</v>
      </c>
      <c r="B28" s="73">
        <f>64600</f>
        <v>64600</v>
      </c>
      <c r="C28" s="71">
        <v>46170</v>
      </c>
      <c r="D28" s="72" t="s">
        <v>266</v>
      </c>
      <c r="E28" s="72" t="s">
        <v>261</v>
      </c>
      <c r="F28" s="72" t="s">
        <v>110</v>
      </c>
      <c r="G28" s="72" t="s">
        <v>251</v>
      </c>
    </row>
    <row r="29" spans="1:7" ht="19.5">
      <c r="A29" s="3" t="s">
        <v>149</v>
      </c>
      <c r="B29" s="74">
        <f>SUM(B4:B28)</f>
        <v>18348000</v>
      </c>
      <c r="C29" s="3"/>
      <c r="D29" s="3"/>
      <c r="E29" s="3"/>
      <c r="F29" s="3"/>
      <c r="G29" s="3"/>
    </row>
    <row r="30" spans="1:7">
      <c r="A30" s="75"/>
      <c r="B30" s="76"/>
      <c r="C30" s="77"/>
      <c r="D30" s="78"/>
      <c r="E30" s="79"/>
      <c r="F30" s="78"/>
      <c r="G30" s="79"/>
    </row>
    <row r="31" spans="1:7" ht="19.5">
      <c r="A31" s="75"/>
      <c r="B31" s="80"/>
      <c r="C31" s="37"/>
      <c r="D31" s="81"/>
      <c r="E31" s="79"/>
      <c r="F31" s="78"/>
      <c r="G31" s="79"/>
    </row>
    <row r="32" spans="1:7">
      <c r="A32" s="75"/>
      <c r="B32" s="76"/>
      <c r="C32" s="77"/>
      <c r="D32" s="78"/>
      <c r="E32" s="79"/>
      <c r="F32" s="78"/>
      <c r="G32" s="79"/>
    </row>
    <row r="33" spans="1:7">
      <c r="A33" s="75"/>
      <c r="B33" s="76"/>
      <c r="C33" s="77"/>
      <c r="D33" s="78"/>
      <c r="E33" s="79"/>
      <c r="F33" s="78"/>
      <c r="G33" s="79"/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18348000</v>
      </c>
      <c r="E4" s="17">
        <f>C5/2</f>
        <v>36076000</v>
      </c>
      <c r="F4" s="17">
        <f>C5/2</f>
        <v>36076000</v>
      </c>
    </row>
    <row r="5" spans="2:8" s="12" customFormat="1" ht="26.25" customHeight="1">
      <c r="B5" s="16" t="s">
        <v>18</v>
      </c>
      <c r="C5" s="17">
        <f>C3-C4</f>
        <v>72152000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36076000</v>
      </c>
      <c r="C9" s="15">
        <v>10800000</v>
      </c>
      <c r="D9" s="14">
        <f>SUM(B9:C9)</f>
        <v>46876000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36076000</v>
      </c>
      <c r="C13" s="15">
        <v>12000000</v>
      </c>
      <c r="D13" s="15">
        <v>2000000</v>
      </c>
      <c r="E13" s="15">
        <f>SUM(B13:D13)</f>
        <v>50076000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36076000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L31"/>
  <sheetViews>
    <sheetView workbookViewId="0"/>
  </sheetViews>
  <sheetFormatPr defaultRowHeight="14.25"/>
  <cols>
    <col min="1" max="1" width="8" style="47" customWidth="1"/>
    <col min="2" max="2" width="34" style="47" customWidth="1"/>
    <col min="3" max="4" width="12" style="47" customWidth="1"/>
    <col min="5" max="8" width="16" style="47" customWidth="1"/>
    <col min="9" max="10" width="12" style="47" customWidth="1"/>
    <col min="11" max="11" width="10" style="47" customWidth="1"/>
    <col min="12" max="12" width="30" style="47" customWidth="1"/>
    <col min="13" max="16384" width="9" style="47"/>
  </cols>
  <sheetData>
    <row r="1" spans="1:12" ht="15">
      <c r="A1" s="46" t="s">
        <v>150</v>
      </c>
      <c r="B1" s="46" t="s">
        <v>151</v>
      </c>
      <c r="C1" s="46" t="s">
        <v>152</v>
      </c>
      <c r="D1" s="46" t="s">
        <v>153</v>
      </c>
      <c r="E1" s="46" t="s">
        <v>154</v>
      </c>
      <c r="F1" s="46" t="s">
        <v>155</v>
      </c>
      <c r="G1" s="46" t="s">
        <v>156</v>
      </c>
      <c r="H1" s="46" t="s">
        <v>239</v>
      </c>
      <c r="I1" s="46" t="s">
        <v>157</v>
      </c>
      <c r="J1" s="46" t="s">
        <v>158</v>
      </c>
      <c r="K1" s="46" t="s">
        <v>159</v>
      </c>
      <c r="L1" s="46" t="s">
        <v>160</v>
      </c>
    </row>
    <row r="2" spans="1:12" ht="16.5">
      <c r="A2" s="48">
        <v>1</v>
      </c>
      <c r="B2" s="49" t="s">
        <v>161</v>
      </c>
      <c r="C2" s="48" t="s">
        <v>162</v>
      </c>
      <c r="D2" s="48" t="s">
        <v>163</v>
      </c>
      <c r="E2" s="48" t="s">
        <v>235</v>
      </c>
      <c r="F2" s="48" t="s">
        <v>235</v>
      </c>
      <c r="G2" s="48" t="s">
        <v>235</v>
      </c>
      <c r="H2" s="48" t="s">
        <v>254</v>
      </c>
      <c r="I2" s="48">
        <f>COUNTIF(E2:G2,"참석")</f>
        <v>3</v>
      </c>
      <c r="J2" s="48">
        <f>COUNTIF(E2:G2,"참석")+COUNTIF(E2:G2,"불참")</f>
        <v>3</v>
      </c>
      <c r="K2" s="50">
        <f>IF(J2=0,"",I2/J2)</f>
        <v>1</v>
      </c>
      <c r="L2" s="49"/>
    </row>
    <row r="3" spans="1:12" ht="16.5">
      <c r="A3" s="48">
        <v>2</v>
      </c>
      <c r="B3" s="49" t="s">
        <v>198</v>
      </c>
      <c r="C3" s="48" t="s">
        <v>164</v>
      </c>
      <c r="D3" s="48" t="s">
        <v>163</v>
      </c>
      <c r="E3" s="48" t="s">
        <v>235</v>
      </c>
      <c r="F3" s="48" t="s">
        <v>235</v>
      </c>
      <c r="G3" s="48" t="s">
        <v>235</v>
      </c>
      <c r="H3" s="48" t="s">
        <v>254</v>
      </c>
      <c r="I3" s="48">
        <f>COUNTIF(E3:G3,"참석")</f>
        <v>3</v>
      </c>
      <c r="J3" s="48">
        <f>COUNTIF(E3:G3,"참석")+COUNTIF(E3:G3,"불참")</f>
        <v>3</v>
      </c>
      <c r="K3" s="50">
        <f>IF(J3=0,"",I3/J3)</f>
        <v>1</v>
      </c>
      <c r="L3" s="49"/>
    </row>
    <row r="4" spans="1:12" ht="16.5">
      <c r="A4" s="48">
        <v>3</v>
      </c>
      <c r="B4" s="49" t="s">
        <v>165</v>
      </c>
      <c r="C4" s="48" t="s">
        <v>166</v>
      </c>
      <c r="D4" s="48" t="s">
        <v>167</v>
      </c>
      <c r="E4" s="48" t="s">
        <v>235</v>
      </c>
      <c r="F4" s="48" t="s">
        <v>235</v>
      </c>
      <c r="G4" s="48" t="s">
        <v>235</v>
      </c>
      <c r="H4" s="48" t="s">
        <v>254</v>
      </c>
      <c r="I4" s="48">
        <f>COUNTIF(E4:G4,"참석")</f>
        <v>3</v>
      </c>
      <c r="J4" s="48">
        <f>COUNTIF(E4:G4,"참석")+COUNTIF(E4:G4,"불참")</f>
        <v>3</v>
      </c>
      <c r="K4" s="50">
        <f>IF(J4=0,"",I4/J4)</f>
        <v>1</v>
      </c>
      <c r="L4" s="49"/>
    </row>
    <row r="5" spans="1:12" ht="16.5">
      <c r="A5" s="48">
        <v>4</v>
      </c>
      <c r="B5" s="49" t="s">
        <v>168</v>
      </c>
      <c r="C5" s="48" t="s">
        <v>169</v>
      </c>
      <c r="D5" s="48" t="s">
        <v>170</v>
      </c>
      <c r="E5" s="48" t="s">
        <v>235</v>
      </c>
      <c r="F5" s="48" t="s">
        <v>235</v>
      </c>
      <c r="G5" s="48" t="s">
        <v>235</v>
      </c>
      <c r="H5" s="48" t="s">
        <v>254</v>
      </c>
      <c r="I5" s="48">
        <f>COUNTIF(E5:G5,"참석")</f>
        <v>3</v>
      </c>
      <c r="J5" s="48">
        <f>COUNTIF(E5:G5,"참석")+COUNTIF(E5:G5,"불참")</f>
        <v>3</v>
      </c>
      <c r="K5" s="50">
        <f>IF(J5=0,"",I5/J5)</f>
        <v>1</v>
      </c>
      <c r="L5" s="49"/>
    </row>
    <row r="6" spans="1:12" ht="16.5">
      <c r="A6" s="48">
        <v>5</v>
      </c>
      <c r="B6" s="49" t="s">
        <v>171</v>
      </c>
      <c r="C6" s="48" t="s">
        <v>172</v>
      </c>
      <c r="D6" s="48" t="s">
        <v>173</v>
      </c>
      <c r="E6" s="48" t="s">
        <v>235</v>
      </c>
      <c r="F6" s="48" t="s">
        <v>174</v>
      </c>
      <c r="G6" s="48" t="s">
        <v>235</v>
      </c>
      <c r="H6" s="48" t="s">
        <v>254</v>
      </c>
      <c r="I6" s="48">
        <f>COUNTIF(E6:G6,"참석")</f>
        <v>2</v>
      </c>
      <c r="J6" s="48">
        <f>COUNTIF(E6:G6,"참석")+COUNTIF(E6:G6,"불참")</f>
        <v>3</v>
      </c>
      <c r="K6" s="50">
        <f>IF(J6=0,"",I6/J6)</f>
        <v>0.66666666666666663</v>
      </c>
      <c r="L6" s="49"/>
    </row>
    <row r="7" spans="1:12" ht="16.5">
      <c r="A7" s="48">
        <v>6</v>
      </c>
      <c r="B7" s="49" t="s">
        <v>175</v>
      </c>
      <c r="C7" s="48" t="s">
        <v>176</v>
      </c>
      <c r="D7" s="48" t="s">
        <v>177</v>
      </c>
      <c r="E7" s="48" t="s">
        <v>235</v>
      </c>
      <c r="F7" s="48" t="s">
        <v>235</v>
      </c>
      <c r="G7" s="48" t="s">
        <v>235</v>
      </c>
      <c r="H7" s="48" t="s">
        <v>254</v>
      </c>
      <c r="I7" s="48">
        <f>COUNTIF(E7:G7,"참석")</f>
        <v>3</v>
      </c>
      <c r="J7" s="48">
        <f>COUNTIF(E7:G7,"참석")+COUNTIF(E7:G7,"불참")</f>
        <v>3</v>
      </c>
      <c r="K7" s="50">
        <f>IF(J7=0,"",I7/J7)</f>
        <v>1</v>
      </c>
      <c r="L7" s="49"/>
    </row>
    <row r="8" spans="1:12" ht="16.5">
      <c r="A8" s="48">
        <v>7</v>
      </c>
      <c r="B8" s="49" t="s">
        <v>178</v>
      </c>
      <c r="C8" s="48" t="s">
        <v>179</v>
      </c>
      <c r="D8" s="48" t="s">
        <v>180</v>
      </c>
      <c r="E8" s="48" t="s">
        <v>174</v>
      </c>
      <c r="F8" s="48" t="s">
        <v>235</v>
      </c>
      <c r="G8" s="48" t="s">
        <v>174</v>
      </c>
      <c r="H8" s="48" t="s">
        <v>254</v>
      </c>
      <c r="I8" s="48">
        <f>COUNTIF(E8:G8,"참석")</f>
        <v>1</v>
      </c>
      <c r="J8" s="48">
        <f>COUNTIF(E8:G8,"참석")+COUNTIF(E8:G8,"불참")</f>
        <v>3</v>
      </c>
      <c r="K8" s="50">
        <f>IF(J8=0,"",I8/J8)</f>
        <v>0.33333333333333331</v>
      </c>
      <c r="L8" s="49"/>
    </row>
    <row r="9" spans="1:12" ht="16.5">
      <c r="A9" s="48">
        <v>8</v>
      </c>
      <c r="B9" s="49" t="s">
        <v>199</v>
      </c>
      <c r="C9" s="48" t="s">
        <v>200</v>
      </c>
      <c r="D9" s="48" t="s">
        <v>201</v>
      </c>
      <c r="E9" s="48" t="s">
        <v>234</v>
      </c>
      <c r="F9" s="48" t="s">
        <v>234</v>
      </c>
      <c r="G9" s="48" t="s">
        <v>235</v>
      </c>
      <c r="H9" s="48" t="s">
        <v>174</v>
      </c>
      <c r="I9" s="48">
        <f>COUNTIF(E9:G9,"참석")</f>
        <v>1</v>
      </c>
      <c r="J9" s="48">
        <f>COUNTIF(E9:G9,"참석")+COUNTIF(E9:G9,"불참")</f>
        <v>1</v>
      </c>
      <c r="K9" s="50">
        <f>IF(J9=0,"",I9/J9)</f>
        <v>1</v>
      </c>
      <c r="L9" s="49" t="s">
        <v>241</v>
      </c>
    </row>
    <row r="10" spans="1:12" ht="16.5">
      <c r="A10" s="48">
        <v>9</v>
      </c>
      <c r="B10" s="49" t="s">
        <v>202</v>
      </c>
      <c r="C10" s="48" t="s">
        <v>181</v>
      </c>
      <c r="D10" s="48" t="s">
        <v>182</v>
      </c>
      <c r="E10" s="48" t="s">
        <v>235</v>
      </c>
      <c r="F10" s="48" t="s">
        <v>233</v>
      </c>
      <c r="G10" s="48" t="s">
        <v>235</v>
      </c>
      <c r="H10" s="48" t="s">
        <v>254</v>
      </c>
      <c r="I10" s="48">
        <f>COUNTIF(E10:G10,"참석")</f>
        <v>2</v>
      </c>
      <c r="J10" s="48">
        <f>COUNTIF(E10:G10,"참석")+COUNTIF(E10:G10,"불참")</f>
        <v>3</v>
      </c>
      <c r="K10" s="50">
        <f>IF(J10=0,"",I10/J10)</f>
        <v>0.66666666666666663</v>
      </c>
      <c r="L10" s="49"/>
    </row>
    <row r="11" spans="1:12" ht="16.5">
      <c r="A11" s="48">
        <v>10</v>
      </c>
      <c r="B11" s="49" t="s">
        <v>183</v>
      </c>
      <c r="C11" s="48" t="s">
        <v>184</v>
      </c>
      <c r="D11" s="48" t="s">
        <v>185</v>
      </c>
      <c r="E11" s="48" t="s">
        <v>235</v>
      </c>
      <c r="F11" s="48" t="s">
        <v>235</v>
      </c>
      <c r="G11" s="48" t="s">
        <v>235</v>
      </c>
      <c r="H11" s="48" t="s">
        <v>174</v>
      </c>
      <c r="I11" s="48">
        <f>COUNTIF(E11:G11,"참석")</f>
        <v>3</v>
      </c>
      <c r="J11" s="48">
        <f>COUNTIF(E11:G11,"참석")+COUNTIF(E11:G11,"불참")</f>
        <v>3</v>
      </c>
      <c r="K11" s="50">
        <f>IF(J11=0,"",I11/J11)</f>
        <v>1</v>
      </c>
      <c r="L11" s="49"/>
    </row>
    <row r="12" spans="1:12" ht="16.5">
      <c r="A12" s="48">
        <v>11</v>
      </c>
      <c r="B12" s="49" t="s">
        <v>186</v>
      </c>
      <c r="C12" s="48" t="s">
        <v>187</v>
      </c>
      <c r="D12" s="48" t="s">
        <v>180</v>
      </c>
      <c r="E12" s="48" t="s">
        <v>235</v>
      </c>
      <c r="F12" s="48" t="s">
        <v>235</v>
      </c>
      <c r="G12" s="48" t="s">
        <v>235</v>
      </c>
      <c r="H12" s="48" t="s">
        <v>254</v>
      </c>
      <c r="I12" s="48">
        <f>COUNTIF(E12:G12,"참석")</f>
        <v>3</v>
      </c>
      <c r="J12" s="48">
        <f>COUNTIF(E12:G12,"참석")+COUNTIF(E12:G12,"불참")</f>
        <v>3</v>
      </c>
      <c r="K12" s="50">
        <f>IF(J12=0,"",I12/J12)</f>
        <v>1</v>
      </c>
      <c r="L12" s="49"/>
    </row>
    <row r="13" spans="1:12" ht="16.5">
      <c r="A13" s="48">
        <v>12</v>
      </c>
      <c r="B13" s="49" t="s">
        <v>188</v>
      </c>
      <c r="C13" s="48" t="s">
        <v>189</v>
      </c>
      <c r="D13" s="48" t="s">
        <v>182</v>
      </c>
      <c r="E13" s="48" t="s">
        <v>174</v>
      </c>
      <c r="F13" s="48" t="s">
        <v>235</v>
      </c>
      <c r="G13" s="48" t="s">
        <v>235</v>
      </c>
      <c r="H13" s="48" t="s">
        <v>174</v>
      </c>
      <c r="I13" s="48">
        <f>COUNTIF(E13:G13,"참석")</f>
        <v>2</v>
      </c>
      <c r="J13" s="48">
        <f>COUNTIF(E13:G13,"참석")+COUNTIF(E13:G13,"불참")</f>
        <v>3</v>
      </c>
      <c r="K13" s="50">
        <f>IF(J13=0,"",I13/J13)</f>
        <v>0.66666666666666663</v>
      </c>
      <c r="L13" s="49"/>
    </row>
    <row r="14" spans="1:12" ht="16.5">
      <c r="A14" s="48">
        <v>13</v>
      </c>
      <c r="B14" s="49" t="s">
        <v>203</v>
      </c>
      <c r="C14" s="48" t="s">
        <v>190</v>
      </c>
      <c r="D14" s="48" t="s">
        <v>191</v>
      </c>
      <c r="E14" s="48" t="s">
        <v>233</v>
      </c>
      <c r="F14" s="48" t="s">
        <v>235</v>
      </c>
      <c r="G14" s="48" t="s">
        <v>235</v>
      </c>
      <c r="H14" s="48" t="s">
        <v>174</v>
      </c>
      <c r="I14" s="48">
        <f>COUNTIF(E14:G14,"참석")</f>
        <v>2</v>
      </c>
      <c r="J14" s="48">
        <f>COUNTIF(E14:G14,"참석")+COUNTIF(E14:G14,"불참")</f>
        <v>3</v>
      </c>
      <c r="K14" s="50">
        <f>IF(J14=0,"",I14/J14)</f>
        <v>0.66666666666666663</v>
      </c>
      <c r="L14" s="49"/>
    </row>
    <row r="15" spans="1:12" ht="16.5">
      <c r="A15" s="48">
        <v>14</v>
      </c>
      <c r="B15" s="49" t="s">
        <v>192</v>
      </c>
      <c r="C15" s="48" t="s">
        <v>193</v>
      </c>
      <c r="D15" s="48" t="s">
        <v>194</v>
      </c>
      <c r="E15" s="48" t="s">
        <v>236</v>
      </c>
      <c r="F15" s="48" t="s">
        <v>235</v>
      </c>
      <c r="G15" s="48" t="s">
        <v>233</v>
      </c>
      <c r="H15" s="48" t="s">
        <v>254</v>
      </c>
      <c r="I15" s="48">
        <f>COUNTIF(E15:G15,"참석")</f>
        <v>2</v>
      </c>
      <c r="J15" s="48">
        <f>COUNTIF(E15:G15,"참석")+COUNTIF(E15:G15,"불참")</f>
        <v>3</v>
      </c>
      <c r="K15" s="50">
        <f>IF(J15=0,"",I15/J15)</f>
        <v>0.66666666666666663</v>
      </c>
      <c r="L15" s="49"/>
    </row>
    <row r="16" spans="1:12" ht="16.5">
      <c r="A16" s="48">
        <v>15</v>
      </c>
      <c r="B16" s="47" t="s">
        <v>195</v>
      </c>
      <c r="C16" s="51" t="s">
        <v>196</v>
      </c>
      <c r="D16" s="51" t="s">
        <v>197</v>
      </c>
      <c r="E16" s="47" t="s">
        <v>233</v>
      </c>
      <c r="F16" s="47" t="s">
        <v>235</v>
      </c>
      <c r="G16" s="48" t="s">
        <v>233</v>
      </c>
      <c r="H16" s="48" t="s">
        <v>254</v>
      </c>
      <c r="I16" s="48">
        <f>COUNTIF(E16:G16,"참석")</f>
        <v>1</v>
      </c>
      <c r="J16" s="48">
        <f>COUNTIF(E16:G16,"참석")+COUNTIF(E16:G16,"불참")</f>
        <v>3</v>
      </c>
      <c r="K16" s="50">
        <f>IF(J16=0,"",I16/J16)</f>
        <v>0.33333333333333331</v>
      </c>
    </row>
    <row r="17" spans="1:12" ht="16.5">
      <c r="A17" s="48">
        <v>16</v>
      </c>
      <c r="B17" s="47" t="s">
        <v>204</v>
      </c>
      <c r="C17" s="51" t="s">
        <v>205</v>
      </c>
      <c r="D17" s="51" t="s">
        <v>163</v>
      </c>
      <c r="E17" s="47" t="s">
        <v>236</v>
      </c>
      <c r="F17" s="47" t="s">
        <v>235</v>
      </c>
      <c r="G17" s="48" t="s">
        <v>235</v>
      </c>
      <c r="H17" s="48" t="s">
        <v>174</v>
      </c>
      <c r="I17" s="48">
        <f>COUNTIF(E17:G17,"참석")</f>
        <v>3</v>
      </c>
      <c r="J17" s="48">
        <f>COUNTIF(E17:G17,"참석")+COUNTIF(E17:G17,"불참")</f>
        <v>3</v>
      </c>
      <c r="K17" s="50">
        <f>IF(J17=0,"",I17/J17)</f>
        <v>1</v>
      </c>
    </row>
    <row r="18" spans="1:12" ht="16.5">
      <c r="A18" s="48">
        <v>17</v>
      </c>
      <c r="B18" s="47" t="s">
        <v>206</v>
      </c>
      <c r="C18" s="51" t="s">
        <v>207</v>
      </c>
      <c r="D18" s="51" t="s">
        <v>163</v>
      </c>
      <c r="E18" s="47" t="s">
        <v>236</v>
      </c>
      <c r="F18" s="47" t="s">
        <v>235</v>
      </c>
      <c r="G18" s="48" t="s">
        <v>233</v>
      </c>
      <c r="H18" s="48" t="s">
        <v>174</v>
      </c>
      <c r="I18" s="48">
        <f>COUNTIF(E18:G18,"참석")</f>
        <v>2</v>
      </c>
      <c r="J18" s="48">
        <f>COUNTIF(E18:G18,"참석")+COUNTIF(E18:G18,"불참")</f>
        <v>3</v>
      </c>
      <c r="K18" s="50">
        <f>IF(J18=0,"",I18/J18)</f>
        <v>0.66666666666666663</v>
      </c>
    </row>
    <row r="19" spans="1:12" ht="16.5">
      <c r="A19" s="48">
        <v>18</v>
      </c>
      <c r="B19" s="47" t="s">
        <v>252</v>
      </c>
      <c r="C19" s="51" t="s">
        <v>237</v>
      </c>
      <c r="D19" s="51" t="s">
        <v>253</v>
      </c>
      <c r="E19" s="47" t="s">
        <v>238</v>
      </c>
      <c r="F19" s="47" t="s">
        <v>238</v>
      </c>
      <c r="G19" s="48" t="s">
        <v>238</v>
      </c>
      <c r="H19" s="48" t="s">
        <v>254</v>
      </c>
      <c r="I19" s="48">
        <f>COUNTIF(E19:G19,"참석")</f>
        <v>0</v>
      </c>
      <c r="J19" s="48">
        <f>COUNTIF(E19:G19,"참석")+COUNTIF(E19:G19,"불참")</f>
        <v>0</v>
      </c>
      <c r="K19" s="50" t="str">
        <f>IF(J19=0,"",I19/J19)</f>
        <v/>
      </c>
      <c r="L19" s="47" t="s">
        <v>240</v>
      </c>
    </row>
    <row r="20" spans="1:12" ht="16.5">
      <c r="A20" s="48">
        <v>19</v>
      </c>
      <c r="B20" s="47" t="s">
        <v>208</v>
      </c>
      <c r="C20" s="51" t="s">
        <v>209</v>
      </c>
      <c r="D20" s="51" t="s">
        <v>210</v>
      </c>
      <c r="E20" s="47" t="s">
        <v>236</v>
      </c>
      <c r="F20" s="47" t="s">
        <v>235</v>
      </c>
      <c r="G20" s="48" t="s">
        <v>235</v>
      </c>
      <c r="H20" s="48" t="s">
        <v>174</v>
      </c>
      <c r="I20" s="48">
        <f>COUNTIF(E20:G20,"참석")</f>
        <v>3</v>
      </c>
      <c r="J20" s="48">
        <f>COUNTIF(E20:G20,"참석")+COUNTIF(E20:G20,"불참")</f>
        <v>3</v>
      </c>
      <c r="K20" s="50">
        <f>IF(J20=0,"",I20/J20)</f>
        <v>1</v>
      </c>
    </row>
    <row r="21" spans="1:12" ht="16.5">
      <c r="A21" s="48">
        <v>20</v>
      </c>
      <c r="B21" s="47" t="s">
        <v>211</v>
      </c>
      <c r="C21" s="51" t="s">
        <v>212</v>
      </c>
      <c r="D21" s="51" t="s">
        <v>167</v>
      </c>
      <c r="E21" s="47" t="s">
        <v>233</v>
      </c>
      <c r="F21" s="47" t="s">
        <v>235</v>
      </c>
      <c r="G21" s="48" t="s">
        <v>235</v>
      </c>
      <c r="H21" s="48" t="s">
        <v>254</v>
      </c>
      <c r="I21" s="48">
        <f>COUNTIF(E21:G21,"참석")</f>
        <v>2</v>
      </c>
      <c r="J21" s="48">
        <f>COUNTIF(E21:G21,"참석")+COUNTIF(E21:G21,"불참")</f>
        <v>3</v>
      </c>
      <c r="K21" s="50">
        <f>IF(J21=0,"",I21/J21)</f>
        <v>0.66666666666666663</v>
      </c>
    </row>
    <row r="22" spans="1:12" ht="16.5">
      <c r="A22" s="48">
        <v>21</v>
      </c>
      <c r="B22" s="47" t="s">
        <v>213</v>
      </c>
      <c r="C22" s="51" t="s">
        <v>214</v>
      </c>
      <c r="D22" s="51" t="s">
        <v>170</v>
      </c>
      <c r="E22" s="47" t="s">
        <v>236</v>
      </c>
      <c r="F22" s="47" t="s">
        <v>233</v>
      </c>
      <c r="G22" s="48" t="s">
        <v>235</v>
      </c>
      <c r="H22" s="48" t="s">
        <v>254</v>
      </c>
      <c r="I22" s="48">
        <f>COUNTIF(E22:G22,"참석")</f>
        <v>2</v>
      </c>
      <c r="J22" s="48">
        <f>COUNTIF(E22:G22,"참석")+COUNTIF(E22:G22,"불참")</f>
        <v>3</v>
      </c>
      <c r="K22" s="50">
        <f>IF(J22=0,"",I22/J22)</f>
        <v>0.66666666666666663</v>
      </c>
    </row>
    <row r="23" spans="1:12" ht="16.5">
      <c r="A23" s="48">
        <v>22</v>
      </c>
      <c r="B23" s="47" t="s">
        <v>215</v>
      </c>
      <c r="C23" s="51" t="s">
        <v>216</v>
      </c>
      <c r="D23" s="51" t="s">
        <v>217</v>
      </c>
      <c r="E23" s="47" t="s">
        <v>236</v>
      </c>
      <c r="F23" s="47" t="s">
        <v>235</v>
      </c>
      <c r="G23" s="48" t="s">
        <v>233</v>
      </c>
      <c r="H23" s="48" t="s">
        <v>254</v>
      </c>
      <c r="I23" s="48">
        <f>COUNTIF(E23:G23,"참석")</f>
        <v>2</v>
      </c>
      <c r="J23" s="48">
        <f>COUNTIF(E23:G23,"참석")+COUNTIF(E23:G23,"불참")</f>
        <v>3</v>
      </c>
      <c r="K23" s="50">
        <f>IF(J23=0,"",I23/J23)</f>
        <v>0.66666666666666663</v>
      </c>
    </row>
    <row r="24" spans="1:12" ht="16.5">
      <c r="A24" s="48">
        <v>23</v>
      </c>
      <c r="B24" s="47" t="s">
        <v>218</v>
      </c>
      <c r="C24" s="51" t="s">
        <v>219</v>
      </c>
      <c r="D24" s="51" t="s">
        <v>191</v>
      </c>
      <c r="E24" s="47" t="s">
        <v>233</v>
      </c>
      <c r="F24" s="47" t="s">
        <v>233</v>
      </c>
      <c r="G24" s="48" t="s">
        <v>235</v>
      </c>
      <c r="H24" s="48" t="s">
        <v>174</v>
      </c>
      <c r="I24" s="48">
        <f>COUNTIF(E24:G24,"참석")</f>
        <v>1</v>
      </c>
      <c r="J24" s="48">
        <f>COUNTIF(E24:G24,"참석")+COUNTIF(E24:G24,"불참")</f>
        <v>3</v>
      </c>
      <c r="K24" s="50">
        <f>IF(J24=0,"",I24/J24)</f>
        <v>0.33333333333333331</v>
      </c>
    </row>
    <row r="25" spans="1:12" ht="16.5">
      <c r="A25" s="48">
        <v>24</v>
      </c>
      <c r="B25" s="47" t="s">
        <v>220</v>
      </c>
      <c r="C25" s="51" t="s">
        <v>221</v>
      </c>
      <c r="D25" s="51" t="s">
        <v>197</v>
      </c>
      <c r="E25" s="47" t="s">
        <v>236</v>
      </c>
      <c r="F25" s="47" t="s">
        <v>235</v>
      </c>
      <c r="G25" s="48" t="s">
        <v>235</v>
      </c>
      <c r="H25" s="48" t="s">
        <v>254</v>
      </c>
      <c r="I25" s="48">
        <f>COUNTIF(E25:G25,"참석")</f>
        <v>3</v>
      </c>
      <c r="J25" s="48">
        <f>COUNTIF(E25:G25,"참석")+COUNTIF(E25:G25,"불참")</f>
        <v>3</v>
      </c>
      <c r="K25" s="50">
        <f>IF(J25=0,"",I25/J25)</f>
        <v>1</v>
      </c>
    </row>
    <row r="26" spans="1:12" ht="16.5">
      <c r="A26" s="48">
        <v>25</v>
      </c>
      <c r="B26" s="47" t="s">
        <v>222</v>
      </c>
      <c r="C26" s="51" t="s">
        <v>223</v>
      </c>
      <c r="D26" s="51" t="s">
        <v>197</v>
      </c>
      <c r="E26" s="47" t="s">
        <v>233</v>
      </c>
      <c r="F26" s="47" t="s">
        <v>235</v>
      </c>
      <c r="G26" s="48" t="s">
        <v>233</v>
      </c>
      <c r="H26" s="48" t="s">
        <v>174</v>
      </c>
      <c r="I26" s="48">
        <f>COUNTIF(E26:G26,"참석")</f>
        <v>1</v>
      </c>
      <c r="J26" s="48">
        <f>COUNTIF(E26:G26,"참석")+COUNTIF(E26:G26,"불참")</f>
        <v>3</v>
      </c>
      <c r="K26" s="50">
        <f>IF(J26=0,"",I26/J26)</f>
        <v>0.33333333333333331</v>
      </c>
    </row>
    <row r="27" spans="1:12" ht="16.5">
      <c r="A27" s="48">
        <v>26</v>
      </c>
      <c r="B27" s="47" t="s">
        <v>224</v>
      </c>
      <c r="C27" s="51" t="s">
        <v>225</v>
      </c>
      <c r="D27" s="51" t="s">
        <v>201</v>
      </c>
      <c r="E27" s="47" t="s">
        <v>236</v>
      </c>
      <c r="F27" s="47" t="s">
        <v>235</v>
      </c>
      <c r="G27" s="48" t="s">
        <v>233</v>
      </c>
      <c r="H27" s="48" t="s">
        <v>254</v>
      </c>
      <c r="I27" s="48">
        <f>COUNTIF(E27:G27,"참석")</f>
        <v>2</v>
      </c>
      <c r="J27" s="48">
        <f>COUNTIF(E27:G27,"참석")+COUNTIF(E27:G27,"불참")</f>
        <v>3</v>
      </c>
      <c r="K27" s="50">
        <f>IF(J27=0,"",I27/J27)</f>
        <v>0.66666666666666663</v>
      </c>
    </row>
    <row r="28" spans="1:12" ht="16.5">
      <c r="A28" s="48">
        <v>27</v>
      </c>
      <c r="B28" s="47" t="s">
        <v>226</v>
      </c>
      <c r="C28" s="51" t="s">
        <v>227</v>
      </c>
      <c r="D28" s="51" t="s">
        <v>182</v>
      </c>
      <c r="E28" s="47" t="s">
        <v>236</v>
      </c>
      <c r="F28" s="47" t="s">
        <v>235</v>
      </c>
      <c r="G28" s="48" t="s">
        <v>235</v>
      </c>
      <c r="H28" s="48" t="s">
        <v>254</v>
      </c>
      <c r="I28" s="48">
        <f>COUNTIF(E28:G28,"참석")</f>
        <v>3</v>
      </c>
      <c r="J28" s="48">
        <f>COUNTIF(E28:G28,"참석")+COUNTIF(E28:G28,"불참")</f>
        <v>3</v>
      </c>
      <c r="K28" s="50">
        <f>IF(J28=0,"",I28/J28)</f>
        <v>1</v>
      </c>
    </row>
    <row r="29" spans="1:12" ht="16.5">
      <c r="A29" s="48">
        <v>28</v>
      </c>
      <c r="B29" s="47" t="s">
        <v>228</v>
      </c>
      <c r="C29" s="51" t="s">
        <v>229</v>
      </c>
      <c r="D29" s="51" t="s">
        <v>230</v>
      </c>
      <c r="E29" s="47" t="s">
        <v>236</v>
      </c>
      <c r="F29" s="47" t="s">
        <v>233</v>
      </c>
      <c r="G29" s="48" t="s">
        <v>233</v>
      </c>
      <c r="H29" s="48" t="s">
        <v>254</v>
      </c>
      <c r="I29" s="48">
        <f>COUNTIF(E29:G29,"참석")</f>
        <v>1</v>
      </c>
      <c r="J29" s="48">
        <f>COUNTIF(E29:G29,"참석")+COUNTIF(E29:G29,"불참")</f>
        <v>3</v>
      </c>
      <c r="K29" s="50">
        <f>IF(J29=0,"",I29/J29)</f>
        <v>0.33333333333333331</v>
      </c>
    </row>
    <row r="30" spans="1:12" ht="16.5">
      <c r="A30" s="48">
        <v>29</v>
      </c>
      <c r="C30" s="51" t="s">
        <v>231</v>
      </c>
      <c r="D30" s="51" t="s">
        <v>232</v>
      </c>
      <c r="E30" s="47" t="s">
        <v>235</v>
      </c>
      <c r="F30" s="47" t="s">
        <v>233</v>
      </c>
      <c r="G30" s="48" t="s">
        <v>233</v>
      </c>
      <c r="H30" s="48" t="s">
        <v>174</v>
      </c>
      <c r="I30" s="48">
        <f>COUNTIF(E30:G30,"참석")</f>
        <v>1</v>
      </c>
      <c r="J30" s="48">
        <f>COUNTIF(E30:G30,"참석")+COUNTIF(E30:G30,"불참")</f>
        <v>3</v>
      </c>
      <c r="K30" s="50">
        <f>IF(J30=0,"",I30/J30)</f>
        <v>0.33333333333333331</v>
      </c>
    </row>
    <row r="31" spans="1:12" ht="16.5">
      <c r="E31" s="47">
        <f>COUNTIF(E2:E29,"참석")</f>
        <v>19</v>
      </c>
      <c r="F31" s="47">
        <f>COUNTIF(F2:F29,"참석")</f>
        <v>21</v>
      </c>
      <c r="G31" s="47">
        <f>COUNTIF(G2:G29,"참석")</f>
        <v>19</v>
      </c>
      <c r="K31" s="50" t="str">
        <f>IF(J31=0,"",I31/J31)</f>
        <v/>
      </c>
    </row>
  </sheetData>
  <autoFilter ref="A1:L31" xr:uid="{C0625D6E-2678-482C-88B1-4B31BC9434B5}">
    <sortState xmlns:xlrd2="http://schemas.microsoft.com/office/spreadsheetml/2017/richdata2" ref="A2:L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2026-06-02T08:06:08Z</dcterms:modified>
</cp:coreProperties>
</file>