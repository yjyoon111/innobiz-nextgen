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9b3223a194a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인별출석" sheetId="1" r:id="R9aa6c34477a441a0"/>
    <x:sheet xmlns:r="http://schemas.openxmlformats.org/officeDocument/2006/relationships" name="회차요약" sheetId="2" r:id="R7046b6e00be042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1c1724b5ce48de" /><Relationship Type="http://schemas.openxmlformats.org/officeDocument/2006/relationships/theme" Target="/xl/theme/theme1.xml" Id="Ree6ade6fabd14abf" /><Relationship Type="http://schemas.openxmlformats.org/officeDocument/2006/relationships/sharedStrings" Target="/xl/sharedStrings.xml" Id="Ra6d338201e0a4641" /><Relationship Type="http://schemas.openxmlformats.org/officeDocument/2006/relationships/worksheet" Target="/xl/worksheets/sheet1.xml" Id="R9aa6c34477a441a0" /><Relationship Type="http://schemas.openxmlformats.org/officeDocument/2006/relationships/worksheet" Target="/xl/worksheets/sheet2.xml" Id="R7046b6e00be042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번호</x:v>
      </x:c>
      <x:c r="B1" t="str">
        <x:v>업체명</x:v>
      </x:c>
      <x:c r="C1" t="str">
        <x:v>성명</x:v>
      </x:c>
      <x:c r="D1" t="str">
        <x:v>직책</x:v>
      </x:c>
      <x:c r="E1" t="str">
        <x:v>1주</x:v>
      </x:c>
      <x:c r="F1" t="str">
        <x:v>2주</x:v>
      </x:c>
      <x:c r="G1" t="str">
        <x:v>3주</x:v>
      </x:c>
      <x:c r="H1" t="str">
        <x:v>출석횟수</x:v>
      </x:c>
      <x:c r="I1" t="str">
        <x:v>확인회차</x:v>
      </x:c>
      <x:c r="J1" t="str">
        <x:v>출석률</x:v>
      </x:c>
      <x:c r="K1" t="str">
        <x:v>비고</x:v>
      </x:c>
    </x:row>
    <x:row r="2">
      <x:c r="A2" t="n">
        <x:v>1</x:v>
      </x:c>
      <x:c r="B2" t="str">
        <x:v>(주)페타네트워크</x:v>
      </x:c>
      <x:c r="C2" t="str">
        <x:v>강신호</x:v>
      </x:c>
      <x:c r="D2" t="str">
        <x:v>이사</x:v>
      </x:c>
      <x:c r="E2" t="str">
        <x:v>출석</x:v>
      </x:c>
      <x:c r="F2" t="str">
        <x:v>출석</x:v>
      </x:c>
      <x:c r="G2" t="str">
        <x:v>출석</x:v>
      </x:c>
      <x:c r="H2" t="n">
        <x:f>COUNTIF(E2:G2,"출석")</x:f>
        <x:v>3</x:v>
      </x:c>
      <x:c r="I2" t="n">
        <x:f>COUNTIF(E2:G2,"출석")+COUNTIF(E2:G2,"불참")</x:f>
        <x:v>3</x:v>
      </x:c>
      <x:c r="J2" s="1" t="n">
        <x:f>IF(I2=0,"",H2/I2)</x:f>
        <x:v>1</x:v>
      </x:c>
      <x:c r="K2" t="str"/>
    </x:row>
    <x:row r="3">
      <x:c r="A3" t="n">
        <x:v>2</x:v>
      </x:c>
      <x:c r="B3" t="str">
        <x:v>(주)파르팜</x:v>
      </x:c>
      <x:c r="C3" t="str">
        <x:v>김경목</x:v>
      </x:c>
      <x:c r="D3" t="str">
        <x:v>이사</x:v>
      </x:c>
      <x:c r="E3" t="str">
        <x:v>출석</x:v>
      </x:c>
      <x:c r="F3" t="str">
        <x:v>출석</x:v>
      </x:c>
      <x:c r="G3" t="str">
        <x:v>출석</x:v>
      </x:c>
      <x:c r="H3" t="n">
        <x:f>COUNTIF(E3:G3,"출석")</x:f>
        <x:v>3</x:v>
      </x:c>
      <x:c r="I3" t="n">
        <x:f>COUNTIF(E3:G3,"출석")+COUNTIF(E3:G3,"불참")</x:f>
        <x:v>3</x:v>
      </x:c>
      <x:c r="J3" s="1" t="n">
        <x:f>IF(I3=0,"",H3/I3)</x:f>
        <x:v>1</x:v>
      </x:c>
      <x:c r="K3" t="str"/>
    </x:row>
    <x:row r="4">
      <x:c r="A4" t="n">
        <x:v>3</x:v>
      </x:c>
      <x:c r="B4" t="str">
        <x:v>주식회사와이엠알티씨</x:v>
      </x:c>
      <x:c r="C4" t="str">
        <x:v>김미수</x:v>
      </x:c>
      <x:c r="D4" t="str">
        <x:v>대리</x:v>
      </x:c>
      <x:c r="E4" t="str">
        <x:v>출석</x:v>
      </x:c>
      <x:c r="F4" t="str">
        <x:v>출석</x:v>
      </x:c>
      <x:c r="G4" t="str">
        <x:v>출석</x:v>
      </x:c>
      <x:c r="H4" t="n">
        <x:f>COUNTIF(E4:G4,"출석")</x:f>
        <x:v>3</x:v>
      </x:c>
      <x:c r="I4" t="n">
        <x:f>COUNTIF(E4:G4,"출석")+COUNTIF(E4:G4,"불참")</x:f>
        <x:v>3</x:v>
      </x:c>
      <x:c r="J4" s="1" t="n">
        <x:f>IF(I4=0,"",H4/I4)</x:f>
        <x:v>1</x:v>
      </x:c>
      <x:c r="K4" t="str"/>
    </x:row>
    <x:row r="5">
      <x:c r="A5" t="n">
        <x:v>4</x:v>
      </x:c>
      <x:c r="B5" t="str">
        <x:v>주식회사 현성베스코</x:v>
      </x:c>
      <x:c r="C5" t="str">
        <x:v>김민석</x:v>
      </x:c>
      <x:c r="D5" t="str">
        <x:v>부장</x:v>
      </x:c>
      <x:c r="E5" t="str">
        <x:v>출석</x:v>
      </x:c>
      <x:c r="F5" t="str">
        <x:v>출석</x:v>
      </x:c>
      <x:c r="G5" t="str">
        <x:v>출석</x:v>
      </x:c>
      <x:c r="H5" t="n">
        <x:f>COUNTIF(E5:G5,"출석")</x:f>
        <x:v>3</x:v>
      </x:c>
      <x:c r="I5" t="n">
        <x:f>COUNTIF(E5:G5,"출석")+COUNTIF(E5:G5,"불참")</x:f>
        <x:v>3</x:v>
      </x:c>
      <x:c r="J5" s="1" t="n">
        <x:f>IF(I5=0,"",H5/I5)</x:f>
        <x:v>1</x:v>
      </x:c>
      <x:c r="K5" t="str"/>
    </x:row>
    <x:row r="6">
      <x:c r="A6" t="n">
        <x:v>5</x:v>
      </x:c>
      <x:c r="B6" t="str">
        <x:v>주식회사 쉬엔비</x:v>
      </x:c>
      <x:c r="C6" t="str">
        <x:v>김보미</x:v>
      </x:c>
      <x:c r="D6" t="str">
        <x:v>부대표</x:v>
      </x:c>
      <x:c r="E6" t="str">
        <x:v>출석</x:v>
      </x:c>
      <x:c r="F6" t="str">
        <x:v>불참</x:v>
      </x:c>
      <x:c r="G6" t="str">
        <x:v>출석</x:v>
      </x:c>
      <x:c r="H6" t="n">
        <x:f>COUNTIF(E6:G6,"출석")</x:f>
        <x:v>2</x:v>
      </x:c>
      <x:c r="I6" t="n">
        <x:f>COUNTIF(E6:G6,"출석")+COUNTIF(E6:G6,"불참")</x:f>
        <x:v>3</x:v>
      </x:c>
      <x:c r="J6" s="1" t="n">
        <x:f>IF(I6=0,"",H6/I6)</x:f>
        <x:v>0.6666666666666666</x:v>
      </x:c>
      <x:c r="K6" t="str"/>
    </x:row>
    <x:row r="7">
      <x:c r="A7" t="n">
        <x:v>6</x:v>
      </x:c>
      <x:c r="B7" t="str">
        <x:v>(주)에스엠테크</x:v>
      </x:c>
      <x:c r="C7" t="str">
        <x:v>김영찬</x:v>
      </x:c>
      <x:c r="D7" t="str">
        <x:v>차장</x:v>
      </x:c>
      <x:c r="E7" t="str">
        <x:v>출석</x:v>
      </x:c>
      <x:c r="F7" t="str">
        <x:v>출석</x:v>
      </x:c>
      <x:c r="G7" t="str">
        <x:v>출석</x:v>
      </x:c>
      <x:c r="H7" t="n">
        <x:f>COUNTIF(E7:G7,"출석")</x:f>
        <x:v>3</x:v>
      </x:c>
      <x:c r="I7" t="n">
        <x:f>COUNTIF(E7:G7,"출석")+COUNTIF(E7:G7,"불참")</x:f>
        <x:v>3</x:v>
      </x:c>
      <x:c r="J7" s="1" t="n">
        <x:f>IF(I7=0,"",H7/I7)</x:f>
        <x:v>1</x:v>
      </x:c>
      <x:c r="K7" t="str"/>
    </x:row>
    <x:row r="8">
      <x:c r="A8" t="n">
        <x:v>7</x:v>
      </x:c>
      <x:c r="B8" t="str">
        <x:v>제이이솔루션 주식회사</x:v>
      </x:c>
      <x:c r="C8" t="str">
        <x:v>김은수</x:v>
      </x:c>
      <x:c r="D8" t="str">
        <x:v>대표</x:v>
      </x:c>
      <x:c r="E8" t="str">
        <x:v>불참</x:v>
      </x:c>
      <x:c r="F8" t="str">
        <x:v>출석</x:v>
      </x:c>
      <x:c r="G8" t="str">
        <x:v>불참</x:v>
      </x:c>
      <x:c r="H8" t="n">
        <x:f>COUNTIF(E8:G8,"출석")</x:f>
        <x:v>1</x:v>
      </x:c>
      <x:c r="I8" t="n">
        <x:f>COUNTIF(E8:G8,"출석")+COUNTIF(E8:G8,"불참")</x:f>
        <x:v>3</x:v>
      </x:c>
      <x:c r="J8" s="1" t="n">
        <x:f>IF(I8=0,"",H8/I8)</x:f>
        <x:v>0.3333333333333333</x:v>
      </x:c>
      <x:c r="K8" t="str"/>
    </x:row>
    <x:row r="9">
      <x:c r="A9" t="n">
        <x:v>8</x:v>
      </x:c>
      <x:c r="B9" t="str">
        <x:v>(주)지비티코리아</x:v>
      </x:c>
      <x:c r="C9" t="str">
        <x:v>류영수</x:v>
      </x:c>
      <x:c r="D9" t="str">
        <x:v>팀장</x:v>
      </x:c>
      <x:c r="E9" t="str">
        <x:v>출석</x:v>
      </x:c>
      <x:c r="F9" t="str">
        <x:v>불참</x:v>
      </x:c>
      <x:c r="G9" t="str">
        <x:v>출석</x:v>
      </x:c>
      <x:c r="H9" t="n">
        <x:f>COUNTIF(E9:G9,"출석")</x:f>
        <x:v>2</x:v>
      </x:c>
      <x:c r="I9" t="n">
        <x:f>COUNTIF(E9:G9,"출석")+COUNTIF(E9:G9,"불참")</x:f>
        <x:v>3</x:v>
      </x:c>
      <x:c r="J9" s="1" t="n">
        <x:f>IF(I9=0,"",H9/I9)</x:f>
        <x:v>0.6666666666666666</x:v>
      </x:c>
      <x:c r="K9" t="str"/>
    </x:row>
    <x:row r="10">
      <x:c r="A10" t="n">
        <x:v>9</x:v>
      </x:c>
      <x:c r="B10" t="str">
        <x:v>(주)애드테크</x:v>
      </x:c>
      <x:c r="C10" t="str">
        <x:v>박정원</x:v>
      </x:c>
      <x:c r="D10" t="str">
        <x:v>대표이사</x:v>
      </x:c>
      <x:c r="E10" t="str">
        <x:v>출석</x:v>
      </x:c>
      <x:c r="F10" t="str">
        <x:v>출석</x:v>
      </x:c>
      <x:c r="G10" t="str">
        <x:v>출석</x:v>
      </x:c>
      <x:c r="H10" t="n">
        <x:f>COUNTIF(E10:G10,"출석")</x:f>
        <x:v>3</x:v>
      </x:c>
      <x:c r="I10" t="n">
        <x:f>COUNTIF(E10:G10,"출석")+COUNTIF(E10:G10,"불참")</x:f>
        <x:v>3</x:v>
      </x:c>
      <x:c r="J10" s="1" t="n">
        <x:f>IF(I10=0,"",H10/I10)</x:f>
        <x:v>1</x:v>
      </x:c>
      <x:c r="K10" t="str"/>
    </x:row>
    <x:row r="11">
      <x:c r="A11" t="n">
        <x:v>10</x:v>
      </x:c>
      <x:c r="B11" t="str">
        <x:v>(주)제이앤제이건설산업개발</x:v>
      </x:c>
      <x:c r="C11" t="str">
        <x:v>박정임</x:v>
      </x:c>
      <x:c r="D11" t="str">
        <x:v>대표</x:v>
      </x:c>
      <x:c r="E11" t="str">
        <x:v>출석</x:v>
      </x:c>
      <x:c r="F11" t="str">
        <x:v>출석</x:v>
      </x:c>
      <x:c r="G11" t="str">
        <x:v>출석</x:v>
      </x:c>
      <x:c r="H11" t="n">
        <x:f>COUNTIF(E11:G11,"출석")</x:f>
        <x:v>3</x:v>
      </x:c>
      <x:c r="I11" t="n">
        <x:f>COUNTIF(E11:G11,"출석")+COUNTIF(E11:G11,"불참")</x:f>
        <x:v>3</x:v>
      </x:c>
      <x:c r="J11" s="1" t="n">
        <x:f>IF(I11=0,"",H11/I11)</x:f>
        <x:v>1</x:v>
      </x:c>
      <x:c r="K11" t="str"/>
    </x:row>
    <x:row r="12">
      <x:c r="A12" t="n">
        <x:v>11</x:v>
      </x:c>
      <x:c r="B12" t="str">
        <x:v>(주)케이벨로</x:v>
      </x:c>
      <x:c r="C12" t="str">
        <x:v>백진웅</x:v>
      </x:c>
      <x:c r="D12" t="str">
        <x:v>팀장</x:v>
      </x:c>
      <x:c r="E12" t="str">
        <x:v>불참</x:v>
      </x:c>
      <x:c r="F12" t="str">
        <x:v>출석</x:v>
      </x:c>
      <x:c r="G12" t="str">
        <x:v>출석</x:v>
      </x:c>
      <x:c r="H12" t="n">
        <x:f>COUNTIF(E12:G12,"출석")</x:f>
        <x:v>2</x:v>
      </x:c>
      <x:c r="I12" t="n">
        <x:f>COUNTIF(E12:G12,"출석")+COUNTIF(E12:G12,"불참")</x:f>
        <x:v>3</x:v>
      </x:c>
      <x:c r="J12" s="1" t="n">
        <x:f>IF(I12=0,"",H12/I12)</x:f>
        <x:v>0.6666666666666666</x:v>
      </x:c>
      <x:c r="K12" t="str"/>
    </x:row>
    <x:row r="13">
      <x:c r="A13" t="n">
        <x:v>12</x:v>
      </x:c>
      <x:c r="B13" t="str">
        <x:v>(주)넥센서</x:v>
      </x:c>
      <x:c r="C13" t="str">
        <x:v>성현석</x:v>
      </x:c>
      <x:c r="D13" t="str">
        <x:v>부사장</x:v>
      </x:c>
      <x:c r="E13" t="str">
        <x:v>불참</x:v>
      </x:c>
      <x:c r="F13" t="str">
        <x:v>출석</x:v>
      </x:c>
      <x:c r="G13" t="str">
        <x:v>출석</x:v>
      </x:c>
      <x:c r="H13" t="n">
        <x:f>COUNTIF(E13:G13,"출석")</x:f>
        <x:v>2</x:v>
      </x:c>
      <x:c r="I13" t="n">
        <x:f>COUNTIF(E13:G13,"출석")+COUNTIF(E13:G13,"불참")</x:f>
        <x:v>3</x:v>
      </x:c>
      <x:c r="J13" s="1" t="n">
        <x:f>IF(I13=0,"",H13/I13)</x:f>
        <x:v>0.6666666666666666</x:v>
      </x:c>
      <x:c r="K13" t="str"/>
    </x:row>
    <x:row r="14">
      <x:c r="A14" t="n">
        <x:v>13</x:v>
      </x:c>
      <x:c r="B14" t="str">
        <x:v>아트원 주식회사</x:v>
      </x:c>
      <x:c r="C14" t="str">
        <x:v>엄현식</x:v>
      </x:c>
      <x:c r="D14" t="str">
        <x:v>주임</x:v>
      </x:c>
      <x:c r="E14" t="str">
        <x:v>출석</x:v>
      </x:c>
      <x:c r="F14" t="str">
        <x:v>출석</x:v>
      </x:c>
      <x:c r="G14" t="str">
        <x:v>불참</x:v>
      </x:c>
      <x:c r="H14" t="n">
        <x:f>COUNTIF(E14:G14,"출석")</x:f>
        <x:v>2</x:v>
      </x:c>
      <x:c r="I14" t="n">
        <x:f>COUNTIF(E14:G14,"출석")+COUNTIF(E14:G14,"불참")</x:f>
        <x:v>3</x:v>
      </x:c>
      <x:c r="J14" s="1" t="n">
        <x:f>IF(I14=0,"",H14/I14)</x:f>
        <x:v>0.6666666666666666</x:v>
      </x:c>
      <x:c r="K14" t="str"/>
    </x:row>
    <x:row r="15">
      <x:c r="A15" t="n">
        <x:v>14</x:v>
      </x:c>
      <x:c r="B15" t="str">
        <x:v>삼흥산업개발</x:v>
      </x:c>
      <x:c r="C15" t="str">
        <x:v>염주승</x:v>
      </x:c>
      <x:c r="D15" t="str">
        <x:v>상무</x:v>
      </x:c>
      <x:c r="E15" t="str">
        <x:v>불참</x:v>
      </x:c>
      <x:c r="F15" t="str">
        <x:v>출석</x:v>
      </x:c>
      <x:c r="G15" t="str">
        <x:v>불참</x:v>
      </x:c>
      <x:c r="H15" t="n">
        <x:f>COUNTIF(E15:G15,"출석")</x:f>
        <x:v>1</x:v>
      </x:c>
      <x:c r="I15" t="n">
        <x:f>COUNTIF(E15:G15,"출석")+COUNTIF(E15:G15,"불참")</x:f>
        <x:v>3</x:v>
      </x:c>
      <x:c r="J15" s="1" t="n">
        <x:f>IF(I15=0,"",H15/I15)</x:f>
        <x:v>0.3333333333333333</x:v>
      </x:c>
      <x:c r="K15" t="str"/>
    </x:row>
    <x:row r="16">
      <x:c r="A16" t="n">
        <x:v>15</x:v>
      </x:c>
      <x:c r="B16" t="str">
        <x:v>삼도관세법인</x:v>
      </x:c>
      <x:c r="C16" t="str">
        <x:v>이기택</x:v>
      </x:c>
      <x:c r="D16" t="str">
        <x:v>이사</x:v>
      </x:c>
      <x:c r="E16" t="str">
        <x:v>출석</x:v>
      </x:c>
      <x:c r="F16" t="str">
        <x:v>출석</x:v>
      </x:c>
      <x:c r="G16" t="str">
        <x:v>출석</x:v>
      </x:c>
      <x:c r="H16" t="n">
        <x:f>COUNTIF(E16:G16,"출석")</x:f>
        <x:v>3</x:v>
      </x:c>
      <x:c r="I16" t="n">
        <x:f>COUNTIF(E16:G16,"출석")+COUNTIF(E16:G16,"불참")</x:f>
        <x:v>3</x:v>
      </x:c>
      <x:c r="J16" s="1" t="n">
        <x:f>IF(I16=0,"",H16/I16)</x:f>
        <x:v>1</x:v>
      </x:c>
      <x:c r="K16" t="str"/>
    </x:row>
    <x:row r="17">
      <x:c r="A17" t="n">
        <x:v>16</x:v>
      </x:c>
      <x:c r="B17" t="str">
        <x:v>주식회사 아이소브</x:v>
      </x:c>
      <x:c r="C17" t="str">
        <x:v>이병관</x:v>
      </x:c>
      <x:c r="D17" t="str">
        <x:v>이사</x:v>
      </x:c>
      <x:c r="E17" t="str">
        <x:v>출석</x:v>
      </x:c>
      <x:c r="F17" t="str">
        <x:v>출석</x:v>
      </x:c>
      <x:c r="G17" t="str">
        <x:v>불참</x:v>
      </x:c>
      <x:c r="H17" t="n">
        <x:f>COUNTIF(E17:G17,"출석")</x:f>
        <x:v>2</x:v>
      </x:c>
      <x:c r="I17" t="n">
        <x:f>COUNTIF(E17:G17,"출석")+COUNTIF(E17:G17,"불참")</x:f>
        <x:v>3</x:v>
      </x:c>
      <x:c r="J17" s="1" t="n">
        <x:f>IF(I17=0,"",H17/I17)</x:f>
        <x:v>0.6666666666666666</x:v>
      </x:c>
      <x:c r="K17" t="str"/>
    </x:row>
    <x:row r="18">
      <x:c r="A18" t="n">
        <x:v>17</x:v>
      </x:c>
      <x:c r="B18" t="str">
        <x:v>국제웨딩컨벤션</x:v>
      </x:c>
      <x:c r="C18" t="str">
        <x:v>이현석</x:v>
      </x:c>
      <x:c r="D18" t="str">
        <x:v>본부장</x:v>
      </x:c>
      <x:c r="E18" t="str">
        <x:v>출석</x:v>
      </x:c>
      <x:c r="F18" t="str">
        <x:v>출석</x:v>
      </x:c>
      <x:c r="G18" t="str">
        <x:v>출석</x:v>
      </x:c>
      <x:c r="H18" t="n">
        <x:f>COUNTIF(E18:G18,"출석")</x:f>
        <x:v>3</x:v>
      </x:c>
      <x:c r="I18" t="n">
        <x:f>COUNTIF(E18:G18,"출석")+COUNTIF(E18:G18,"불참")</x:f>
        <x:v>3</x:v>
      </x:c>
      <x:c r="J18" s="1" t="n">
        <x:f>IF(I18=0,"",H18/I18)</x:f>
        <x:v>1</x:v>
      </x:c>
      <x:c r="K18" t="str"/>
    </x:row>
    <x:row r="19">
      <x:c r="A19" t="n">
        <x:v>18</x:v>
      </x:c>
      <x:c r="B19" t="str">
        <x:v>(주)나이스레이저</x:v>
      </x:c>
      <x:c r="C19" t="str">
        <x:v>임수예</x:v>
      </x:c>
      <x:c r="D19" t="str">
        <x:v>대리</x:v>
      </x:c>
      <x:c r="E19" t="str">
        <x:v>불참</x:v>
      </x:c>
      <x:c r="F19" t="str">
        <x:v>출석</x:v>
      </x:c>
      <x:c r="G19" t="str">
        <x:v>출석</x:v>
      </x:c>
      <x:c r="H19" t="n">
        <x:f>COUNTIF(E19:G19,"출석")</x:f>
        <x:v>2</x:v>
      </x:c>
      <x:c r="I19" t="n">
        <x:f>COUNTIF(E19:G19,"출석")+COUNTIF(E19:G19,"불참")</x:f>
        <x:v>3</x:v>
      </x:c>
      <x:c r="J19" s="1" t="n">
        <x:f>IF(I19=0,"",H19/I19)</x:f>
        <x:v>0.6666666666666666</x:v>
      </x:c>
      <x:c r="K19" t="str"/>
    </x:row>
    <x:row r="20">
      <x:c r="A20" t="n">
        <x:v>19</x:v>
      </x:c>
      <x:c r="B20" t="str">
        <x:v>주식회사 저스템</x:v>
      </x:c>
      <x:c r="C20" t="str">
        <x:v>임영훈</x:v>
      </x:c>
      <x:c r="D20" t="str">
        <x:v>부장</x:v>
      </x:c>
      <x:c r="E20" t="str">
        <x:v>출석</x:v>
      </x:c>
      <x:c r="F20" t="str">
        <x:v>불참</x:v>
      </x:c>
      <x:c r="G20" t="str">
        <x:v>출석</x:v>
      </x:c>
      <x:c r="H20" t="n">
        <x:f>COUNTIF(E20:G20,"출석")</x:f>
        <x:v>2</x:v>
      </x:c>
      <x:c r="I20" t="n">
        <x:f>COUNTIF(E20:G20,"출석")+COUNTIF(E20:G20,"불참")</x:f>
        <x:v>3</x:v>
      </x:c>
      <x:c r="J20" s="1" t="n">
        <x:f>IF(I20=0,"",H20/I20)</x:f>
        <x:v>0.6666666666666666</x:v>
      </x:c>
      <x:c r="K20" t="str"/>
    </x:row>
    <x:row r="21">
      <x:c r="A21" t="n">
        <x:v>20</x:v>
      </x:c>
      <x:c r="B21" t="str">
        <x:v>주식회사 신정테크</x:v>
      </x:c>
      <x:c r="C21" t="str">
        <x:v>임현창</x:v>
      </x:c>
      <x:c r="D21" t="str">
        <x:v>책임</x:v>
      </x:c>
      <x:c r="E21" t="str">
        <x:v>출석</x:v>
      </x:c>
      <x:c r="F21" t="str">
        <x:v>출석</x:v>
      </x:c>
      <x:c r="G21" t="str">
        <x:v>불참</x:v>
      </x:c>
      <x:c r="H21" t="n">
        <x:f>COUNTIF(E21:G21,"출석")</x:f>
        <x:v>2</x:v>
      </x:c>
      <x:c r="I21" t="n">
        <x:f>COUNTIF(E21:G21,"출석")+COUNTIF(E21:G21,"불참")</x:f>
        <x:v>3</x:v>
      </x:c>
      <x:c r="J21" s="1" t="n">
        <x:f>IF(I21=0,"",H21/I21)</x:f>
        <x:v>0.6666666666666666</x:v>
      </x:c>
      <x:c r="K21" t="str"/>
    </x:row>
    <x:row r="22">
      <x:c r="A22" t="n">
        <x:v>21</x:v>
      </x:c>
      <x:c r="B22" t="str">
        <x:v>주식회사 콤위즈</x:v>
      </x:c>
      <x:c r="C22" t="str">
        <x:v>정은정</x:v>
      </x:c>
      <x:c r="D22" t="str">
        <x:v>부사장</x:v>
      </x:c>
      <x:c r="E22" t="str">
        <x:v>불참</x:v>
      </x:c>
      <x:c r="F22" t="str">
        <x:v>불참</x:v>
      </x:c>
      <x:c r="G22" t="str">
        <x:v>출석</x:v>
      </x:c>
      <x:c r="H22" t="n">
        <x:f>COUNTIF(E22:G22,"출석")</x:f>
        <x:v>1</x:v>
      </x:c>
      <x:c r="I22" t="n">
        <x:f>COUNTIF(E22:G22,"출석")+COUNTIF(E22:G22,"불참")</x:f>
        <x:v>3</x:v>
      </x:c>
      <x:c r="J22" s="1" t="n">
        <x:f>IF(I22=0,"",H22/I22)</x:f>
        <x:v>0.3333333333333333</x:v>
      </x:c>
      <x:c r="K22" t="str"/>
    </x:row>
    <x:row r="23">
      <x:c r="A23" t="n">
        <x:v>22</x:v>
      </x:c>
      <x:c r="B23" t="str">
        <x:v>(주)유진인프라코어</x:v>
      </x:c>
      <x:c r="C23" t="str">
        <x:v>주우형</x:v>
      </x:c>
      <x:c r="D23" t="str">
        <x:v>상무</x:v>
      </x:c>
      <x:c r="E23" t="str">
        <x:v>출석</x:v>
      </x:c>
      <x:c r="F23" t="str">
        <x:v>출석</x:v>
      </x:c>
      <x:c r="G23" t="str">
        <x:v>출석</x:v>
      </x:c>
      <x:c r="H23" t="n">
        <x:f>COUNTIF(E23:G23,"출석")</x:f>
        <x:v>3</x:v>
      </x:c>
      <x:c r="I23" t="n">
        <x:f>COUNTIF(E23:G23,"출석")+COUNTIF(E23:G23,"불참")</x:f>
        <x:v>3</x:v>
      </x:c>
      <x:c r="J23" s="1" t="n">
        <x:f>IF(I23=0,"",H23/I23)</x:f>
        <x:v>1</x:v>
      </x:c>
      <x:c r="K23" t="str"/>
    </x:row>
    <x:row r="24">
      <x:c r="A24" t="n">
        <x:v>23</x:v>
      </x:c>
      <x:c r="B24" t="str">
        <x:v>(주)대광주철</x:v>
      </x:c>
      <x:c r="C24" t="str">
        <x:v>최새봄</x:v>
      </x:c>
      <x:c r="D24" t="str">
        <x:v>과장</x:v>
      </x:c>
      <x:c r="E24" t="str">
        <x:v>불참</x:v>
      </x:c>
      <x:c r="F24" t="str">
        <x:v>출석</x:v>
      </x:c>
      <x:c r="G24" t="str">
        <x:v>불참</x:v>
      </x:c>
      <x:c r="H24" t="n">
        <x:f>COUNTIF(E24:G24,"출석")</x:f>
        <x:v>1</x:v>
      </x:c>
      <x:c r="I24" t="n">
        <x:f>COUNTIF(E24:G24,"출석")+COUNTIF(E24:G24,"불참")</x:f>
        <x:v>3</x:v>
      </x:c>
      <x:c r="J24" s="1" t="n">
        <x:f>IF(I24=0,"",H24/I24)</x:f>
        <x:v>0.3333333333333333</x:v>
      </x:c>
      <x:c r="K24" t="str"/>
    </x:row>
    <x:row r="25">
      <x:c r="A25" t="n">
        <x:v>24</x:v>
      </x:c>
      <x:c r="B25" t="str">
        <x:v>(주)시디피우정</x:v>
      </x:c>
      <x:c r="C25" t="str">
        <x:v>최열</x:v>
      </x:c>
      <x:c r="D25" t="str">
        <x:v>상무</x:v>
      </x:c>
      <x:c r="E25" t="str">
        <x:v>불참</x:v>
      </x:c>
      <x:c r="F25" t="str">
        <x:v>출석</x:v>
      </x:c>
      <x:c r="G25" t="str">
        <x:v>불참</x:v>
      </x:c>
      <x:c r="H25" t="n">
        <x:f>COUNTIF(E25:G25,"출석")</x:f>
        <x:v>1</x:v>
      </x:c>
      <x:c r="I25" t="n">
        <x:f>COUNTIF(E25:G25,"출석")+COUNTIF(E25:G25,"불참")</x:f>
        <x:v>3</x:v>
      </x:c>
      <x:c r="J25" s="1" t="n">
        <x:f>IF(I25=0,"",H25/I25)</x:f>
        <x:v>0.3333333333333333</x:v>
      </x:c>
      <x:c r="K25" t="str"/>
    </x:row>
    <x:row r="26">
      <x:c r="A26" t="n">
        <x:v>25</x:v>
      </x:c>
      <x:c r="B26" t="str">
        <x:v>(주)제우스켐</x:v>
      </x:c>
      <x:c r="C26" t="str">
        <x:v>한규호</x:v>
      </x:c>
      <x:c r="D26" t="str">
        <x:v>과장</x:v>
      </x:c>
      <x:c r="E26" t="str">
        <x:v>출석</x:v>
      </x:c>
      <x:c r="F26" t="str">
        <x:v>출석</x:v>
      </x:c>
      <x:c r="G26" t="str">
        <x:v>불참</x:v>
      </x:c>
      <x:c r="H26" t="n">
        <x:f>COUNTIF(E26:G26,"출석")</x:f>
        <x:v>2</x:v>
      </x:c>
      <x:c r="I26" t="n">
        <x:f>COUNTIF(E26:G26,"출석")+COUNTIF(E26:G26,"불참")</x:f>
        <x:v>3</x:v>
      </x:c>
      <x:c r="J26" s="1" t="n">
        <x:f>IF(I26=0,"",H26/I26)</x:f>
        <x:v>0.6666666666666666</x:v>
      </x:c>
      <x:c r="K26" t="str"/>
    </x:row>
    <x:row r="27">
      <x:c r="A27" t="n">
        <x:v>26</x:v>
      </x:c>
      <x:c r="B27" t="str">
        <x:v>(주)비씨상사</x:v>
      </x:c>
      <x:c r="C27" t="str">
        <x:v>한지희</x:v>
      </x:c>
      <x:c r="D27" t="str">
        <x:v>팀장</x:v>
      </x:c>
      <x:c r="E27" t="str">
        <x:v>출석</x:v>
      </x:c>
      <x:c r="F27" t="str">
        <x:v>출석</x:v>
      </x:c>
      <x:c r="G27" t="str">
        <x:v>출석</x:v>
      </x:c>
      <x:c r="H27" t="n">
        <x:f>COUNTIF(E27:G27,"출석")</x:f>
        <x:v>3</x:v>
      </x:c>
      <x:c r="I27" t="n">
        <x:f>COUNTIF(E27:G27,"출석")+COUNTIF(E27:G27,"불참")</x:f>
        <x:v>3</x:v>
      </x:c>
      <x:c r="J27" s="1" t="n">
        <x:f>IF(I27=0,"",H27/I27)</x:f>
        <x:v>1</x:v>
      </x:c>
      <x:c r="K27" t="str"/>
    </x:row>
    <x:row r="28">
      <x:c r="A28" t="n">
        <x:v>27</x:v>
      </x:c>
      <x:c r="B28" t="str">
        <x:v>가능성특허법률사무소</x:v>
      </x:c>
      <x:c r="C28" t="str">
        <x:v>황동석</x:v>
      </x:c>
      <x:c r="D28" t="str">
        <x:v>변리사</x:v>
      </x:c>
      <x:c r="E28" t="str">
        <x:v>출석</x:v>
      </x:c>
      <x:c r="F28" t="str">
        <x:v>불참</x:v>
      </x:c>
      <x:c r="G28" t="str">
        <x:v>불참</x:v>
      </x:c>
      <x:c r="H28" t="n">
        <x:f>COUNTIF(E28:G28,"출석")</x:f>
        <x:v>1</x:v>
      </x:c>
      <x:c r="I28" t="n">
        <x:f>COUNTIF(E28:G28,"출석")+COUNTIF(E28:G28,"불참")</x:f>
        <x:v>3</x:v>
      </x:c>
      <x:c r="J28" s="1" t="n">
        <x:f>IF(I28=0,"",H28/I28)</x:f>
        <x:v>0.3333333333333333</x:v>
      </x:c>
      <x:c r="K28" t="str"/>
    </x:row>
    <x:row r="29">
      <x:c r="A29" t="n">
        <x:v>28</x:v>
      </x:c>
      <x:c r="B29" t="str">
        <x:v>(주)투데이칩스</x:v>
      </x:c>
      <x:c r="C29" t="str">
        <x:v>김주하</x:v>
      </x:c>
      <x:c r="D29" t="str">
        <x:v>과장</x:v>
      </x:c>
      <x:c r="E29" t="str">
        <x:v>불참</x:v>
      </x:c>
      <x:c r="F29" t="str">
        <x:v>미기재</x:v>
      </x:c>
      <x:c r="G29" t="str">
        <x:v>출석</x:v>
      </x:c>
      <x:c r="H29" t="n">
        <x:f>COUNTIF(E29:G29,"출석")</x:f>
        <x:v>1</x:v>
      </x:c>
      <x:c r="I29" t="n">
        <x:f>COUNTIF(E29:G29,"출석")+COUNTIF(E29:G29,"불참")</x:f>
        <x:v>2</x:v>
      </x:c>
      <x:c r="J29" s="1" t="n">
        <x:f>IF(I29=0,"",H29/I29)</x:f>
        <x:v>0.5</x:v>
      </x:c>
      <x:c r="K29" t="str">
        <x:v>2주차 명단 미기재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회차</x:v>
      </x:c>
      <x:c r="B1" t="str">
        <x:v>일자</x:v>
      </x:c>
      <x:c r="C1" t="str">
        <x:v>출석</x:v>
      </x:c>
      <x:c r="D1" t="str">
        <x:v>불참</x:v>
      </x:c>
      <x:c r="E1" t="str">
        <x:v>출석률</x:v>
      </x:c>
    </x:row>
    <x:row r="2">
      <x:c r="A2" t="str">
        <x:v>1주차</x:v>
      </x:c>
      <x:c r="B2" t="str">
        <x:v>2026-05-07</x:v>
      </x:c>
      <x:c r="C2" t="n">
        <x:v>18</x:v>
      </x:c>
      <x:c r="D2" t="n">
        <x:v>10</x:v>
      </x:c>
      <x:c r="E2" s="1" t="n">
        <x:f>C2/(C2+D2)</x:f>
        <x:v>0.6428571428571429</x:v>
      </x:c>
    </x:row>
    <x:row r="3">
      <x:c r="A3" t="str">
        <x:v>2주차</x:v>
      </x:c>
      <x:c r="B3" t="str">
        <x:v>2026-05-14</x:v>
      </x:c>
      <x:c r="C3" t="n">
        <x:v>22</x:v>
      </x:c>
      <x:c r="D3" t="n">
        <x:v>5</x:v>
      </x:c>
      <x:c r="E3" s="1" t="n">
        <x:f>C3/(C3+D3)</x:f>
        <x:v>0.8148148148148148</x:v>
      </x:c>
    </x:row>
    <x:row r="4">
      <x:c r="A4" t="str">
        <x:v>3주차</x:v>
      </x:c>
      <x:c r="B4" t="str">
        <x:v>2026-05-21</x:v>
      </x:c>
      <x:c r="C4" t="n">
        <x:v>19</x:v>
      </x:c>
      <x:c r="D4" t="n">
        <x:v>9</x:v>
      </x:c>
      <x:c r="E4" s="1" t="n">
        <x:f>C4/(C4+D4)</x:f>
        <x:v>0.6785714285714286</x:v>
      </x:c>
    </x:row>
  </x:sheetData>
  <x:pageMargins left="0.7" right="0.7" top="0.75" bottom="0.75" header="0.3" footer="0.3"/>
</x:worksheet>
</file>