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연수\차세대경영자\"/>
    </mc:Choice>
  </mc:AlternateContent>
  <xr:revisionPtr revIDLastSave="0" documentId="13_ncr:1_{9ABC5073-1122-4B65-AA5D-DBB8739777DA}" xr6:coauthVersionLast="47" xr6:coauthVersionMax="47" xr10:uidLastSave="{00000000-0000-0000-0000-000000000000}"/>
  <bookViews>
    <workbookView xWindow="32085" yWindow="1455" windowWidth="23790" windowHeight="13575" activeTab="2" xr2:uid="{A2360D93-A36E-4A73-BA51-9E4B5429EF3F}"/>
  </bookViews>
  <sheets>
    <sheet name="강사료" sheetId="1" r:id="rId1"/>
    <sheet name="예산" sheetId="4" r:id="rId2"/>
    <sheet name="전시회 2일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4" l="1"/>
  <c r="E11" i="4"/>
  <c r="E13" i="4"/>
  <c r="H18" i="4"/>
  <c r="B26" i="4"/>
  <c r="B13" i="4"/>
  <c r="H16" i="4"/>
  <c r="F22" i="4"/>
  <c r="I5" i="3"/>
  <c r="E13" i="1"/>
  <c r="B33" i="4"/>
  <c r="B10" i="4"/>
  <c r="B8" i="4"/>
  <c r="I13" i="3" l="1"/>
  <c r="I9" i="3"/>
  <c r="I4" i="3"/>
  <c r="I3" i="3"/>
  <c r="B35" i="4"/>
  <c r="I12" i="3" l="1"/>
  <c r="I11" i="3"/>
  <c r="I10" i="3"/>
  <c r="I14" i="3" s="1"/>
  <c r="G30" i="4"/>
  <c r="K21" i="3"/>
  <c r="B32" i="4"/>
  <c r="B27" i="4"/>
  <c r="B11" i="4"/>
  <c r="B9" i="4"/>
  <c r="B6" i="4"/>
  <c r="G25" i="3"/>
  <c r="F25" i="3"/>
  <c r="N6" i="3"/>
  <c r="N5" i="3"/>
  <c r="G15" i="3" s="1"/>
  <c r="E24" i="3"/>
  <c r="E25" i="3" s="1"/>
  <c r="F27" i="3"/>
  <c r="G27" i="3" s="1"/>
  <c r="E27" i="3"/>
  <c r="J15" i="3"/>
  <c r="L4" i="3"/>
  <c r="N4" i="3" s="1"/>
  <c r="G16" i="3" l="1"/>
  <c r="N7" i="3"/>
  <c r="F19" i="3" l="1"/>
  <c r="F20" i="3" s="1"/>
  <c r="E19" i="3"/>
  <c r="E20" i="3" s="1"/>
  <c r="F3" i="3"/>
  <c r="F4" i="3"/>
  <c r="F5" i="3"/>
  <c r="F6" i="3"/>
  <c r="F7" i="3"/>
  <c r="F8" i="3"/>
  <c r="F9" i="3"/>
  <c r="F10" i="3"/>
  <c r="F11" i="3"/>
  <c r="F12" i="3"/>
  <c r="F13" i="3"/>
  <c r="F14" i="3" l="1"/>
  <c r="G19" i="3" s="1"/>
  <c r="G20" i="3" s="1"/>
  <c r="G3" i="4" l="1"/>
  <c r="I3" i="4" s="1"/>
  <c r="I6" i="4" l="1"/>
  <c r="F22" i="3" l="1"/>
  <c r="G22" i="3"/>
  <c r="E22" i="3" l="1"/>
  <c r="G13" i="1"/>
  <c r="B5" i="4" s="1"/>
  <c r="B4" i="4"/>
  <c r="B3" i="4" l="1"/>
  <c r="B37" i="4" s="1"/>
  <c r="F11" i="4" s="1"/>
  <c r="G11" i="4" s="1"/>
  <c r="J11" i="4"/>
  <c r="K11" i="4" s="1"/>
</calcChain>
</file>

<file path=xl/sharedStrings.xml><?xml version="1.0" encoding="utf-8"?>
<sst xmlns="http://schemas.openxmlformats.org/spreadsheetml/2006/main" count="213" uniqueCount="164">
  <si>
    <t>구분</t>
    <phoneticPr fontId="2" type="noConversion"/>
  </si>
  <si>
    <t>1주</t>
    <phoneticPr fontId="2" type="noConversion"/>
  </si>
  <si>
    <t>2주</t>
    <phoneticPr fontId="2" type="noConversion"/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</si>
  <si>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</si>
  <si>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</si>
  <si>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</si>
  <si>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</si>
  <si>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</si>
  <si>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</si>
  <si>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</si>
  <si>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</si>
  <si>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</si>
  <si>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강사</t>
    <phoneticPr fontId="2" type="noConversion"/>
  </si>
  <si>
    <t>강사료</t>
    <phoneticPr fontId="2" type="noConversion"/>
  </si>
  <si>
    <t>FT</t>
    <phoneticPr fontId="2" type="noConversion"/>
  </si>
  <si>
    <t>FT 비용</t>
    <phoneticPr fontId="2" type="noConversion"/>
  </si>
  <si>
    <t>신제구교수</t>
    <phoneticPr fontId="2" type="noConversion"/>
  </si>
  <si>
    <t>김용진대표</t>
    <phoneticPr fontId="2" type="noConversion"/>
  </si>
  <si>
    <t>이상진본부장</t>
    <phoneticPr fontId="2" type="noConversion"/>
  </si>
  <si>
    <t>김창원교수</t>
    <phoneticPr fontId="2" type="noConversion"/>
  </si>
  <si>
    <t>고영대표</t>
    <phoneticPr fontId="2" type="noConversion"/>
  </si>
  <si>
    <t>졸업여행</t>
    <phoneticPr fontId="2" type="noConversion"/>
  </si>
  <si>
    <t>졸업식</t>
    <phoneticPr fontId="2" type="noConversion"/>
  </si>
  <si>
    <t>합계</t>
  </si>
  <si>
    <t>합계</t>
    <phoneticPr fontId="2" type="noConversion"/>
  </si>
  <si>
    <t>비고</t>
    <phoneticPr fontId="2" type="noConversion"/>
  </si>
  <si>
    <t>AX 리더십</t>
    <phoneticPr fontId="2" type="noConversion"/>
  </si>
  <si>
    <t>모듈</t>
    <phoneticPr fontId="2" type="noConversion"/>
  </si>
  <si>
    <t>원천징수 가능</t>
    <phoneticPr fontId="2" type="noConversion"/>
  </si>
  <si>
    <t>절사</t>
  </si>
  <si>
    <t>코맥스대표</t>
    <phoneticPr fontId="2" type="noConversion"/>
  </si>
  <si>
    <t>일자</t>
    <phoneticPr fontId="2" type="noConversion"/>
  </si>
  <si>
    <t>5/7</t>
    <phoneticPr fontId="2" type="noConversion"/>
  </si>
  <si>
    <t>5/14</t>
    <phoneticPr fontId="2" type="noConversion"/>
  </si>
  <si>
    <t>5/21</t>
    <phoneticPr fontId="2" type="noConversion"/>
  </si>
  <si>
    <t>5/28</t>
    <phoneticPr fontId="2" type="noConversion"/>
  </si>
  <si>
    <t>6/11</t>
    <phoneticPr fontId="2" type="noConversion"/>
  </si>
  <si>
    <t>6/18</t>
    <phoneticPr fontId="2" type="noConversion"/>
  </si>
  <si>
    <t>6/25</t>
    <phoneticPr fontId="2" type="noConversion"/>
  </si>
  <si>
    <t>7/2</t>
    <phoneticPr fontId="2" type="noConversion"/>
  </si>
  <si>
    <t>7/16</t>
    <phoneticPr fontId="2" type="noConversion"/>
  </si>
  <si>
    <t>7/10~11</t>
    <phoneticPr fontId="2" type="noConversion"/>
  </si>
  <si>
    <t>원우회 자체</t>
    <phoneticPr fontId="2" type="noConversion"/>
  </si>
  <si>
    <t>전체</t>
    <phoneticPr fontId="2" type="noConversion"/>
  </si>
  <si>
    <t>AX Biz. 혁신</t>
    <phoneticPr fontId="2" type="noConversion"/>
  </si>
  <si>
    <t>김대식교수</t>
    <phoneticPr fontId="2" type="noConversion"/>
  </si>
  <si>
    <t xml:space="preserve">계산서 발행 필수 </t>
    <phoneticPr fontId="2" type="noConversion"/>
  </si>
  <si>
    <t>※ 7/8주는 AX 비즈혁신을 위한 강의 후 강사가 Main FT역할을 수행하고, 인재의 숲 두 코치가 Sub FT 역할을 수행하여 각자가 회사의 상황에
   맞는 개별 결과물을 도출할 수 있도록 지원할 예정임</t>
    <phoneticPr fontId="2" type="noConversion"/>
  </si>
  <si>
    <t>비고 (3기) : 33,200,000</t>
    <phoneticPr fontId="2" type="noConversion"/>
  </si>
  <si>
    <t>협회지원</t>
    <phoneticPr fontId="2" type="noConversion"/>
  </si>
  <si>
    <t>최종 납부금액</t>
    <phoneticPr fontId="2" type="noConversion"/>
  </si>
  <si>
    <t>구분</t>
  </si>
  <si>
    <t>금 액</t>
    <phoneticPr fontId="2" type="noConversion"/>
  </si>
  <si>
    <t>세부내역</t>
    <phoneticPr fontId="2" type="noConversion"/>
  </si>
  <si>
    <t>강사료</t>
  </si>
  <si>
    <t xml:space="preserve">   강사료</t>
    <phoneticPr fontId="2" type="noConversion"/>
  </si>
  <si>
    <t>인쇄비</t>
  </si>
  <si>
    <t xml:space="preserve">   교재인쇄비</t>
    <phoneticPr fontId="2" type="noConversion"/>
  </si>
  <si>
    <t>- 강의 교재 인쇄비</t>
    <phoneticPr fontId="2" type="noConversion"/>
  </si>
  <si>
    <t>다과 및 식비</t>
  </si>
  <si>
    <t xml:space="preserve">   다과비</t>
    <phoneticPr fontId="2" type="noConversion"/>
  </si>
  <si>
    <t>- 교육기간 커피, 다과 등</t>
    <phoneticPr fontId="2" type="noConversion"/>
  </si>
  <si>
    <t xml:space="preserve">   식비</t>
    <phoneticPr fontId="2" type="noConversion"/>
  </si>
  <si>
    <t>사무용품</t>
  </si>
  <si>
    <t xml:space="preserve">   사무용품</t>
    <phoneticPr fontId="2" type="noConversion"/>
  </si>
  <si>
    <t>- 교육기간 내 사무용품</t>
    <phoneticPr fontId="2" type="noConversion"/>
  </si>
  <si>
    <t xml:space="preserve">   기념품</t>
    <phoneticPr fontId="2" type="noConversion"/>
  </si>
  <si>
    <t>- 졸업생 제공 기념품</t>
    <phoneticPr fontId="2" type="noConversion"/>
  </si>
  <si>
    <t>- 액자 및 행사장 장식용품</t>
    <phoneticPr fontId="2" type="noConversion"/>
  </si>
  <si>
    <t>- 행사장 임차비 및 식비</t>
    <phoneticPr fontId="2" type="noConversion"/>
  </si>
  <si>
    <t xml:space="preserve">   현수막 등</t>
    <phoneticPr fontId="2" type="noConversion"/>
  </si>
  <si>
    <t>- 졸업식 현수막, 사진 제작</t>
    <phoneticPr fontId="2" type="noConversion"/>
  </si>
  <si>
    <t xml:space="preserve">   우편료</t>
    <phoneticPr fontId="2" type="noConversion"/>
  </si>
  <si>
    <t>- 수료증 발송료</t>
    <phoneticPr fontId="2" type="noConversion"/>
  </si>
  <si>
    <t xml:space="preserve">   호스팅비</t>
    <phoneticPr fontId="2" type="noConversion"/>
  </si>
  <si>
    <t>- 원우수첩 호스팅비</t>
    <phoneticPr fontId="2" type="noConversion"/>
  </si>
  <si>
    <t>주차비</t>
  </si>
  <si>
    <t xml:space="preserve">   주차비</t>
    <phoneticPr fontId="2" type="noConversion"/>
  </si>
  <si>
    <t>1인당</t>
    <phoneticPr fontId="2" type="noConversion"/>
  </si>
  <si>
    <t>- 인천-상해 일반석</t>
    <phoneticPr fontId="2" type="noConversion"/>
  </si>
  <si>
    <t>- 참여자 보험료</t>
    <phoneticPr fontId="2" type="noConversion"/>
  </si>
  <si>
    <t>교육장 및 서버 임대</t>
    <phoneticPr fontId="2" type="noConversion"/>
  </si>
  <si>
    <t>수익</t>
    <phoneticPr fontId="2" type="noConversion"/>
  </si>
  <si>
    <t>인원</t>
    <phoneticPr fontId="2" type="noConversion"/>
  </si>
  <si>
    <t>교육비</t>
    <phoneticPr fontId="2" type="noConversion"/>
  </si>
  <si>
    <t>해외전시회(4기)</t>
    <phoneticPr fontId="2" type="noConversion"/>
  </si>
  <si>
    <t>해외전시회(1~3기)</t>
    <phoneticPr fontId="2" type="noConversion"/>
  </si>
  <si>
    <t>회원</t>
    <phoneticPr fontId="2" type="noConversion"/>
  </si>
  <si>
    <t>비회원</t>
    <phoneticPr fontId="2" type="noConversion"/>
  </si>
  <si>
    <t>해외전시회 참가</t>
    <phoneticPr fontId="2" type="noConversion"/>
  </si>
  <si>
    <t>- 6~7명 동시 통역</t>
    <phoneticPr fontId="2" type="noConversion"/>
  </si>
  <si>
    <t>제 4기 차세대 경영자 아카데미 예산(안)</t>
    <phoneticPr fontId="2" type="noConversion"/>
  </si>
  <si>
    <t>(회원 17명,비회원 13명)</t>
    <phoneticPr fontId="2" type="noConversion"/>
  </si>
  <si>
    <t>손익비교</t>
    <phoneticPr fontId="2" type="noConversion"/>
  </si>
  <si>
    <t>매출</t>
    <phoneticPr fontId="2" type="noConversion"/>
  </si>
  <si>
    <t>지출</t>
    <phoneticPr fontId="2" type="noConversion"/>
  </si>
  <si>
    <t>6.3~6</t>
    <phoneticPr fontId="2" type="noConversion"/>
  </si>
  <si>
    <t xml:space="preserve">   행사용품</t>
    <phoneticPr fontId="2" type="noConversion"/>
  </si>
  <si>
    <t xml:space="preserve">   차경 임차</t>
    <phoneticPr fontId="2" type="noConversion"/>
  </si>
  <si>
    <t>- 8주간 주차비(종일 2회, 5시간 6회)</t>
    <phoneticPr fontId="2" type="noConversion"/>
  </si>
  <si>
    <t>- 차경 8주 교육장 임차료</t>
    <phoneticPr fontId="2" type="noConversion"/>
  </si>
  <si>
    <t>010-2788-2074</t>
  </si>
  <si>
    <t>jegooshin@hanmail.net, jgshin@assist.ac.kr</t>
  </si>
  <si>
    <t>010-6330-0509</t>
    <phoneticPr fontId="2" type="noConversion"/>
  </si>
  <si>
    <t>sungsanplan@naver.com</t>
    <phoneticPr fontId="2" type="noConversion"/>
  </si>
  <si>
    <t>유일한 대표</t>
    <phoneticPr fontId="2" type="noConversion"/>
  </si>
  <si>
    <t>김창원</t>
    <phoneticPr fontId="2" type="noConversion"/>
  </si>
  <si>
    <t>유일한대표</t>
    <phoneticPr fontId="2" type="noConversion"/>
  </si>
  <si>
    <t>고영</t>
    <phoneticPr fontId="2" type="noConversion"/>
  </si>
  <si>
    <t>- 협회 출장</t>
    <phoneticPr fontId="2" type="noConversion"/>
  </si>
  <si>
    <t>이노비즈협회</t>
  </si>
  <si>
    <t>1인당요금</t>
  </si>
  <si>
    <t>박수/횟수</t>
  </si>
  <si>
    <t>환율적용</t>
  </si>
  <si>
    <t>인원</t>
  </si>
  <si>
    <t>항공-아시아나 일반석</t>
  </si>
  <si>
    <t>-</t>
  </si>
  <si>
    <t>유류할증료+TAX</t>
  </si>
  <si>
    <t>호텔-메트로파크(5성)</t>
  </si>
  <si>
    <t>차량-33인승</t>
    <phoneticPr fontId="14" type="noConversion"/>
  </si>
  <si>
    <t>가이드</t>
  </si>
  <si>
    <t>전시장 내 통역(6/4,5)</t>
    <phoneticPr fontId="14" type="noConversion"/>
  </si>
  <si>
    <t>식사(석식3회)</t>
    <phoneticPr fontId="14" type="noConversion"/>
  </si>
  <si>
    <t>핸들링차지</t>
  </si>
  <si>
    <t>여행자보험</t>
  </si>
  <si>
    <t>마이크랜트</t>
    <phoneticPr fontId="2" type="noConversion"/>
  </si>
  <si>
    <t>수수료</t>
    <phoneticPr fontId="2" type="noConversion"/>
  </si>
  <si>
    <t>30명</t>
    <phoneticPr fontId="2" type="noConversion"/>
  </si>
  <si>
    <t>20명</t>
    <phoneticPr fontId="2" type="noConversion"/>
  </si>
  <si>
    <t>15명</t>
    <phoneticPr fontId="2" type="noConversion"/>
  </si>
  <si>
    <t>합계(30명)</t>
    <phoneticPr fontId="2" type="noConversion"/>
  </si>
  <si>
    <t>합계(20명)</t>
    <phoneticPr fontId="2" type="noConversion"/>
  </si>
  <si>
    <t>합계(15명)</t>
    <phoneticPr fontId="2" type="noConversion"/>
  </si>
  <si>
    <t>수익금총액</t>
    <phoneticPr fontId="2" type="noConversion"/>
  </si>
  <si>
    <t>협회지원총액</t>
    <phoneticPr fontId="2" type="noConversion"/>
  </si>
  <si>
    <t>- 현지 이동 차량</t>
    <phoneticPr fontId="2" type="noConversion"/>
  </si>
  <si>
    <t>- 현지 이동 가이드</t>
    <phoneticPr fontId="2" type="noConversion"/>
  </si>
  <si>
    <t>- 현지 석식비</t>
    <phoneticPr fontId="2" type="noConversion"/>
  </si>
  <si>
    <t>- 현지 여행사 비용</t>
    <phoneticPr fontId="2" type="noConversion"/>
  </si>
  <si>
    <t>- 전시장 투어용</t>
    <phoneticPr fontId="2" type="noConversion"/>
  </si>
  <si>
    <t>- 현장 인솔 및 비즈니스 미팅/리뷰</t>
    <phoneticPr fontId="2" type="noConversion"/>
  </si>
  <si>
    <t>- 업체 수익</t>
    <phoneticPr fontId="2" type="noConversion"/>
  </si>
  <si>
    <t>- 4성급 호텔</t>
    <phoneticPr fontId="2" type="noConversion"/>
  </si>
  <si>
    <t xml:space="preserve">   항공-아시아나 일반석</t>
    <phoneticPr fontId="2" type="noConversion"/>
  </si>
  <si>
    <t xml:space="preserve">  유류할증료+TAX</t>
    <phoneticPr fontId="2" type="noConversion"/>
  </si>
  <si>
    <t xml:space="preserve">  호텔-메트로파크</t>
    <phoneticPr fontId="2" type="noConversion"/>
  </si>
  <si>
    <t xml:space="preserve">  차량-33인승</t>
    <phoneticPr fontId="2" type="noConversion"/>
  </si>
  <si>
    <t xml:space="preserve">  가이드</t>
    <phoneticPr fontId="2" type="noConversion"/>
  </si>
  <si>
    <t xml:space="preserve">  전시장 내 통역(6/4,5)</t>
    <phoneticPr fontId="2" type="noConversion"/>
  </si>
  <si>
    <t xml:space="preserve">  식사(석식3회)</t>
    <phoneticPr fontId="2" type="noConversion"/>
  </si>
  <si>
    <t xml:space="preserve">  핸들링차지</t>
    <phoneticPr fontId="2" type="noConversion"/>
  </si>
  <si>
    <t xml:space="preserve">  여행자보험</t>
    <phoneticPr fontId="2" type="noConversion"/>
  </si>
  <si>
    <t xml:space="preserve">  마이크랜트</t>
    <phoneticPr fontId="2" type="noConversion"/>
  </si>
  <si>
    <t xml:space="preserve">  강사비</t>
    <phoneticPr fontId="2" type="noConversion"/>
  </si>
  <si>
    <t xml:space="preserve">  수수료</t>
    <phoneticPr fontId="2" type="noConversion"/>
  </si>
  <si>
    <t xml:space="preserve">  스탭출장비</t>
    <phoneticPr fontId="2" type="noConversion"/>
  </si>
  <si>
    <t>- 9회 액션러닝</t>
    <phoneticPr fontId="2" type="noConversion"/>
  </si>
  <si>
    <t>류제언 변호사</t>
    <phoneticPr fontId="2" type="noConversion"/>
  </si>
  <si>
    <t>고용대표</t>
    <phoneticPr fontId="2" type="noConversion"/>
  </si>
  <si>
    <t xml:space="preserve">  예비비</t>
    <phoneticPr fontId="2" type="noConversion"/>
  </si>
  <si>
    <t xml:space="preserve">   액션러닝</t>
    <phoneticPr fontId="2" type="noConversion"/>
  </si>
  <si>
    <t>- 10회 강사료(졸업여행, 제외)</t>
    <phoneticPr fontId="2" type="noConversion"/>
  </si>
  <si>
    <t xml:space="preserve">  마이크랜탈</t>
    <phoneticPr fontId="2" type="noConversion"/>
  </si>
  <si>
    <t>- 교육 후 식비(석식)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</si>
</sst>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_-* #,##0_-;\-* #,##0_-;_-* &quot;-&quot;_-;_-@"/>
    <numFmt numFmtId="177" formatCode="_-[$$-409]* #,##0.00_ ;_-[$$-409]* \-#,##0.00\ ;_-[$$-409]* &quot;-&quot;??_ ;_-@_ "/>
    <numFmt numFmtId="178" formatCode="#,##0_);[Red]\(#,##0\)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rgb="FF666666"/>
      <name val="Noto Sans KR"/>
      <family val="3"/>
      <charset val="129"/>
    </font>
    <font>
      <b/>
      <sz val="10"/>
      <color rgb="FF0070C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3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41" fontId="0" fillId="0" borderId="0" xfId="1" applyFont="1">
      <alignment vertical="center"/>
    </xf>
    <xf numFmtId="0" fontId="3" fillId="2" borderId="2" xfId="0" applyFont="1" applyFill="1" applyBorder="1" applyAlignment="1">
      <alignment horizontal="center" vertical="center"/>
    </xf>
    <xf numFmtId="41" fontId="3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41" fontId="3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41" fontId="7" fillId="0" borderId="1" xfId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41" fontId="7" fillId="0" borderId="1" xfId="0" applyNumberFormat="1" applyFont="1" applyBorder="1">
      <alignment vertical="center"/>
    </xf>
    <xf numFmtId="0" fontId="7" fillId="0" borderId="0" xfId="0" applyFont="1">
      <alignment vertical="center"/>
    </xf>
    <xf numFmtId="41" fontId="7" fillId="0" borderId="1" xfId="1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3" fontId="0" fillId="0" borderId="0" xfId="0" applyNumberFormat="1">
      <alignment vertical="center"/>
    </xf>
    <xf numFmtId="0" fontId="9" fillId="0" borderId="0" xfId="0" applyFont="1">
      <alignment vertical="center"/>
    </xf>
    <xf numFmtId="0" fontId="4" fillId="0" borderId="1" xfId="0" applyFont="1" applyBorder="1">
      <alignment vertical="center"/>
    </xf>
    <xf numFmtId="0" fontId="11" fillId="0" borderId="0" xfId="0" applyFont="1">
      <alignment vertical="center"/>
    </xf>
    <xf numFmtId="41" fontId="16" fillId="0" borderId="0" xfId="1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horizontal="center" vertical="center" wrapText="1" readingOrder="1"/>
    </xf>
    <xf numFmtId="0" fontId="10" fillId="6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176" fontId="12" fillId="0" borderId="1" xfId="0" applyNumberFormat="1" applyFont="1" applyBorder="1">
      <alignment vertical="center"/>
    </xf>
    <xf numFmtId="177" fontId="12" fillId="0" borderId="1" xfId="0" applyNumberFormat="1" applyFont="1" applyBorder="1">
      <alignment vertical="center"/>
    </xf>
    <xf numFmtId="176" fontId="13" fillId="0" borderId="1" xfId="0" applyNumberFormat="1" applyFont="1" applyBorder="1">
      <alignment vertical="center"/>
    </xf>
    <xf numFmtId="178" fontId="12" fillId="0" borderId="1" xfId="0" applyNumberFormat="1" applyFont="1" applyBorder="1">
      <alignment vertical="center"/>
    </xf>
    <xf numFmtId="176" fontId="15" fillId="0" borderId="1" xfId="0" applyNumberFormat="1" applyFont="1" applyBorder="1">
      <alignment vertical="center"/>
    </xf>
    <xf numFmtId="176" fontId="0" fillId="0" borderId="0" xfId="0" applyNumberFormat="1">
      <alignment vertical="center"/>
    </xf>
    <xf numFmtId="176" fontId="12" fillId="0" borderId="10" xfId="0" applyNumberFormat="1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1" xfId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41" fontId="3" fillId="0" borderId="1" xfId="1" applyFont="1" applyBorder="1">
      <alignment vertical="center"/>
    </xf>
    <xf numFmtId="0" fontId="3" fillId="0" borderId="1" xfId="0" applyFont="1" applyBorder="1" applyAlignment="1">
      <alignment horizontal="left" vertical="center" shrinkToFit="1"/>
    </xf>
    <xf numFmtId="41" fontId="4" fillId="0" borderId="1" xfId="1" applyFont="1" applyBorder="1">
      <alignment vertical="center"/>
    </xf>
    <xf numFmtId="0" fontId="4" fillId="0" borderId="1" xfId="0" quotePrefix="1" applyFont="1" applyBorder="1" applyAlignment="1">
      <alignment horizontal="left" vertical="center" shrinkToFit="1"/>
    </xf>
    <xf numFmtId="0" fontId="4" fillId="0" borderId="10" xfId="0" quotePrefix="1" applyFont="1" applyBorder="1" applyAlignment="1">
      <alignment horizontal="left" vertical="center" shrinkToFit="1"/>
    </xf>
    <xf numFmtId="0" fontId="4" fillId="0" borderId="11" xfId="0" quotePrefix="1" applyFont="1" applyBorder="1" applyAlignment="1">
      <alignment horizontal="left" vertical="center" shrinkToFit="1"/>
    </xf>
    <xf numFmtId="0" fontId="3" fillId="0" borderId="1" xfId="0" quotePrefix="1" applyFont="1" applyBorder="1" applyAlignment="1">
      <alignment horizontal="left" vertical="center" shrinkToFit="1"/>
    </xf>
    <xf numFmtId="3" fontId="0" fillId="0" borderId="0" xfId="0" applyNumberFormat="1">
      <alignment vertical="center"/>
    </xf>
    <xf numFmtId="3" fontId="17" fillId="0" borderId="12" xfId="0" applyNumberFormat="1" applyFont="1" applyBorder="1" applyAlignment="1">
      <alignment horizontal="center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37EF-9FA1-4D01-B5F1-A3810E194F0B}">
  <sheetPr>
    <pageSetUpPr fitToPage="1"/>
  </sheetPr>
  <dimension ref="A1:K16"/>
  <sheetViews>
    <sheetView workbookViewId="0">
      <selection activeCell="G13" sqref="G13"/>
    </sheetView>
  </sheetViews>
  <sheetFormatPr defaultRowHeight="16.5"/>
  <cols>
    <col min="1" max="2" width="8.625" style="8"/>
    <col min="3" max="3" width="12" style="8" customWidth="1"/>
    <col min="4" max="4" width="15.625" style="8" bestFit="1" customWidth="1"/>
    <col min="5" max="5" width="12.375" style="9" customWidth="1"/>
    <col min="6" max="6" width="15.375" style="8" customWidth="1"/>
    <col min="7" max="7" width="12.625" style="9" customWidth="1"/>
    <col min="8" max="8" width="37.125" style="8" bestFit="1" customWidth="1"/>
    <col min="10" max="10" width="10.875" bestFit="1" customWidth="1"/>
  </cols>
  <sheetData>
    <row r="1" spans="1:11" ht="17.25" thickBot="1">
      <c r="A1" s="2" t="s">
        <v>0</v>
      </c>
      <c r="B1" s="2" t="s">
        <v>31</v>
      </c>
      <c r="C1" s="2" t="s">
        <v>27</v>
      </c>
      <c r="D1" s="2" t="s">
        <v>12</v>
      </c>
      <c r="E1" s="3" t="s">
        <v>13</v>
      </c>
      <c r="F1" s="2" t="s">
        <v>14</v>
      </c>
      <c r="G1" s="3" t="s">
        <v>15</v>
      </c>
      <c r="H1" s="2" t="s">
        <v>25</v>
      </c>
    </row>
    <row r="2" spans="1:11" ht="18.75" thickTop="1">
      <c r="A2" s="4" t="s">
        <v>1</v>
      </c>
      <c r="B2" s="10" t="s">
        <v>32</v>
      </c>
      <c r="C2" s="4" t="s">
        <v>26</v>
      </c>
      <c r="D2" s="4" t="s">
        <v>16</v>
      </c>
      <c r="E2" s="5">
        <v>3000000</v>
      </c>
      <c r="F2" s="4" t="s">
        <v>107</v>
      </c>
      <c r="G2" s="5">
        <v>1000000</v>
      </c>
      <c r="H2" s="4" t="s">
        <v>28</v>
      </c>
      <c r="J2" t="s">
        <v>101</v>
      </c>
      <c r="K2" s="23" t="s">
        <v>102</v>
      </c>
    </row>
    <row r="3" spans="1:11">
      <c r="A3" s="6" t="s">
        <v>2</v>
      </c>
      <c r="B3" s="10" t="s">
        <v>33</v>
      </c>
      <c r="C3" s="4" t="s">
        <v>26</v>
      </c>
      <c r="D3" s="6" t="s">
        <v>105</v>
      </c>
      <c r="E3" s="7">
        <v>1000000</v>
      </c>
      <c r="F3" s="4" t="s">
        <v>107</v>
      </c>
      <c r="G3" s="7">
        <v>1000000</v>
      </c>
      <c r="H3" s="6"/>
    </row>
    <row r="4" spans="1:11">
      <c r="A4" s="6" t="s">
        <v>3</v>
      </c>
      <c r="B4" s="10" t="s">
        <v>34</v>
      </c>
      <c r="C4" s="4" t="s">
        <v>26</v>
      </c>
      <c r="D4" s="6" t="s">
        <v>157</v>
      </c>
      <c r="E4" s="7">
        <v>2750000</v>
      </c>
      <c r="F4" s="4" t="s">
        <v>107</v>
      </c>
      <c r="G4" s="7">
        <v>1000000</v>
      </c>
      <c r="H4" s="6"/>
    </row>
    <row r="5" spans="1:11">
      <c r="A5" s="6" t="s">
        <v>4</v>
      </c>
      <c r="B5" s="10" t="s">
        <v>35</v>
      </c>
      <c r="C5" s="4" t="s">
        <v>26</v>
      </c>
      <c r="D5" s="6" t="s">
        <v>17</v>
      </c>
      <c r="E5" s="7">
        <v>2000000</v>
      </c>
      <c r="F5" s="4" t="s">
        <v>107</v>
      </c>
      <c r="G5" s="7">
        <v>1000000</v>
      </c>
      <c r="H5" s="6"/>
    </row>
    <row r="6" spans="1:11">
      <c r="A6" s="6" t="s">
        <v>5</v>
      </c>
      <c r="B6" s="10" t="s">
        <v>96</v>
      </c>
      <c r="C6" s="6" t="s">
        <v>44</v>
      </c>
      <c r="D6" s="6" t="s">
        <v>158</v>
      </c>
      <c r="E6" s="7">
        <v>4200000</v>
      </c>
      <c r="F6" s="6"/>
      <c r="G6" s="7"/>
      <c r="H6" s="6"/>
    </row>
    <row r="7" spans="1:11">
      <c r="A7" s="6" t="s">
        <v>6</v>
      </c>
      <c r="B7" s="10" t="s">
        <v>36</v>
      </c>
      <c r="C7" s="6" t="s">
        <v>44</v>
      </c>
      <c r="D7" s="6" t="s">
        <v>18</v>
      </c>
      <c r="E7" s="7">
        <v>1000000</v>
      </c>
      <c r="F7" s="4" t="s">
        <v>107</v>
      </c>
      <c r="G7" s="7">
        <v>1000000</v>
      </c>
      <c r="H7" s="6"/>
    </row>
    <row r="8" spans="1:11">
      <c r="A8" s="6" t="s">
        <v>7</v>
      </c>
      <c r="B8" s="10" t="s">
        <v>37</v>
      </c>
      <c r="C8" s="6" t="s">
        <v>44</v>
      </c>
      <c r="D8" s="6" t="s">
        <v>19</v>
      </c>
      <c r="E8" s="7">
        <v>1000000</v>
      </c>
      <c r="F8" s="6" t="s">
        <v>106</v>
      </c>
      <c r="G8" s="7">
        <v>500000</v>
      </c>
      <c r="H8" s="6"/>
    </row>
    <row r="9" spans="1:11">
      <c r="A9" s="6" t="s">
        <v>8</v>
      </c>
      <c r="B9" s="10" t="s">
        <v>38</v>
      </c>
      <c r="C9" s="6" t="s">
        <v>44</v>
      </c>
      <c r="D9" s="6" t="s">
        <v>20</v>
      </c>
      <c r="E9" s="7">
        <v>1500000</v>
      </c>
      <c r="F9" s="6" t="s">
        <v>108</v>
      </c>
      <c r="G9" s="7">
        <v>500000</v>
      </c>
      <c r="H9" s="6"/>
    </row>
    <row r="10" spans="1:11">
      <c r="A10" s="6" t="s">
        <v>9</v>
      </c>
      <c r="B10" s="10" t="s">
        <v>39</v>
      </c>
      <c r="C10" s="6" t="s">
        <v>44</v>
      </c>
      <c r="D10" s="6" t="s">
        <v>30</v>
      </c>
      <c r="E10" s="7">
        <v>1000000</v>
      </c>
      <c r="F10" s="6" t="s">
        <v>107</v>
      </c>
      <c r="G10" s="7">
        <v>1000000</v>
      </c>
      <c r="H10" s="6"/>
    </row>
    <row r="11" spans="1:11">
      <c r="A11" s="6" t="s">
        <v>10</v>
      </c>
      <c r="B11" s="10" t="s">
        <v>41</v>
      </c>
      <c r="C11" s="6" t="s">
        <v>21</v>
      </c>
      <c r="D11" s="6" t="s">
        <v>42</v>
      </c>
      <c r="E11" s="7"/>
      <c r="F11" s="6"/>
      <c r="G11" s="7"/>
      <c r="H11" s="6"/>
    </row>
    <row r="12" spans="1:11">
      <c r="A12" s="6" t="s">
        <v>11</v>
      </c>
      <c r="B12" s="10" t="s">
        <v>40</v>
      </c>
      <c r="C12" s="6" t="s">
        <v>22</v>
      </c>
      <c r="D12" s="6" t="s">
        <v>45</v>
      </c>
      <c r="E12" s="7">
        <v>3300000</v>
      </c>
      <c r="F12" s="4"/>
      <c r="G12" s="7"/>
      <c r="H12" s="6" t="s">
        <v>46</v>
      </c>
      <c r="J12" s="13" t="s">
        <v>103</v>
      </c>
      <c r="K12" t="s">
        <v>104</v>
      </c>
    </row>
    <row r="13" spans="1:11">
      <c r="A13" s="53" t="s">
        <v>24</v>
      </c>
      <c r="B13" s="54"/>
      <c r="C13" s="54"/>
      <c r="D13" s="55"/>
      <c r="E13" s="11">
        <f>SUM(E2:E12)</f>
        <v>20750000</v>
      </c>
      <c r="F13" s="12"/>
      <c r="G13" s="11">
        <f>SUM(G2:G12)</f>
        <v>7000000</v>
      </c>
      <c r="H13" s="12" t="s">
        <v>48</v>
      </c>
    </row>
    <row r="15" spans="1:11" ht="17.25" thickBot="1"/>
    <row r="16" spans="1:11" ht="36" customHeight="1" thickBot="1">
      <c r="A16" s="50" t="s">
        <v>47</v>
      </c>
      <c r="B16" s="51"/>
      <c r="C16" s="51"/>
      <c r="D16" s="51"/>
      <c r="E16" s="51"/>
      <c r="F16" s="51"/>
      <c r="G16" s="51"/>
      <c r="H16" s="52"/>
    </row>
  </sheetData>
  <mergeCells count="2">
    <mergeCell ref="A16:H16"/>
    <mergeCell ref="A13:D13"/>
  </mergeCells>
  <phoneticPr fontId="2" type="noConversion"/>
  <pageMargins left="0.7" right="0.7" top="0.75" bottom="0.75" header="0.3" footer="0.3"/>
  <pageSetup paperSize="9" scale="9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1FE7-19B1-47FE-887B-97552C138E4C}">
  <dimension ref="A1:K39"/>
  <sheetViews>
    <sheetView topLeftCell="A7" workbookViewId="0">
      <selection activeCell="G8" sqref="G8"/>
    </sheetView>
  </sheetViews>
  <sheetFormatPr defaultRowHeight="16.5"/>
  <cols>
    <col min="1" max="1" width="22.5" customWidth="1"/>
    <col min="2" max="2" width="18" style="1" customWidth="1"/>
    <col min="3" max="3" width="37" customWidth="1"/>
    <col min="4" max="4" width="6.125" customWidth="1"/>
    <col min="5" max="5" width="18.125" customWidth="1"/>
    <col min="6" max="6" width="12.875" customWidth="1"/>
    <col min="7" max="8" width="13.875" bestFit="1" customWidth="1"/>
    <col min="9" max="9" width="15.125" bestFit="1" customWidth="1"/>
    <col min="10" max="10" width="22.5" customWidth="1"/>
    <col min="11" max="11" width="13.5" bestFit="1" customWidth="1"/>
  </cols>
  <sheetData>
    <row r="1" spans="1:11" ht="26.25">
      <c r="A1" s="56" t="s">
        <v>91</v>
      </c>
      <c r="B1" s="57"/>
      <c r="C1" s="57"/>
    </row>
    <row r="2" spans="1:11" ht="17.25">
      <c r="A2" s="38" t="s">
        <v>51</v>
      </c>
      <c r="B2" s="39" t="s">
        <v>52</v>
      </c>
      <c r="C2" s="38" t="s">
        <v>53</v>
      </c>
      <c r="E2" s="17" t="s">
        <v>0</v>
      </c>
      <c r="F2" s="17" t="s">
        <v>83</v>
      </c>
      <c r="G2" s="17" t="s">
        <v>87</v>
      </c>
      <c r="H2" s="17" t="s">
        <v>88</v>
      </c>
      <c r="I2" s="17" t="s">
        <v>24</v>
      </c>
    </row>
    <row r="3" spans="1:11" ht="16.5" customHeight="1">
      <c r="A3" s="40" t="s">
        <v>54</v>
      </c>
      <c r="B3" s="41">
        <f>B4+B5</f>
        <v>27750000</v>
      </c>
      <c r="C3" s="42"/>
      <c r="E3" s="15" t="s">
        <v>84</v>
      </c>
      <c r="F3" s="20">
        <v>30</v>
      </c>
      <c r="G3" s="16">
        <f>H3*0.8</f>
        <v>2800000</v>
      </c>
      <c r="H3" s="16">
        <v>3500000</v>
      </c>
      <c r="I3" s="16">
        <f>G3*23+H3*7</f>
        <v>88900000</v>
      </c>
    </row>
    <row r="4" spans="1:11" ht="17.25">
      <c r="A4" s="24" t="s">
        <v>55</v>
      </c>
      <c r="B4" s="43">
        <f>강사료!E13</f>
        <v>20750000</v>
      </c>
      <c r="C4" s="44" t="s">
        <v>161</v>
      </c>
      <c r="E4" s="15" t="s">
        <v>85</v>
      </c>
      <c r="F4" s="20">
        <v>15</v>
      </c>
      <c r="G4" s="16">
        <v>990000</v>
      </c>
      <c r="H4" s="16">
        <v>0</v>
      </c>
      <c r="I4" s="16">
        <v>14850000</v>
      </c>
    </row>
    <row r="5" spans="1:11" ht="17.25">
      <c r="A5" s="24" t="s">
        <v>160</v>
      </c>
      <c r="B5" s="43">
        <f>강사료!G13</f>
        <v>7000000</v>
      </c>
      <c r="C5" s="44" t="s">
        <v>156</v>
      </c>
      <c r="E5" s="15" t="s">
        <v>86</v>
      </c>
      <c r="F5" s="20">
        <v>5</v>
      </c>
      <c r="G5" s="16">
        <v>1500000</v>
      </c>
      <c r="H5" s="16">
        <v>0</v>
      </c>
      <c r="I5" s="16">
        <v>7500000</v>
      </c>
    </row>
    <row r="6" spans="1:11" ht="17.25">
      <c r="A6" s="40" t="s">
        <v>56</v>
      </c>
      <c r="B6" s="41">
        <f>B7</f>
        <v>4000000</v>
      </c>
      <c r="C6" s="42"/>
      <c r="D6" s="13"/>
      <c r="E6" s="14" t="s">
        <v>92</v>
      </c>
      <c r="F6" s="15"/>
      <c r="G6" s="15"/>
      <c r="H6" s="15"/>
      <c r="I6" s="18">
        <f>SUM(I3:I5)</f>
        <v>111250000</v>
      </c>
    </row>
    <row r="7" spans="1:11">
      <c r="A7" s="24" t="s">
        <v>57</v>
      </c>
      <c r="B7" s="43">
        <v>4000000</v>
      </c>
      <c r="C7" s="44" t="s">
        <v>58</v>
      </c>
    </row>
    <row r="8" spans="1:11">
      <c r="A8" s="40" t="s">
        <v>59</v>
      </c>
      <c r="B8" s="41">
        <f>SUM(B9:B10)</f>
        <v>6600000</v>
      </c>
      <c r="C8" s="42"/>
    </row>
    <row r="9" spans="1:11">
      <c r="A9" s="24" t="s">
        <v>60</v>
      </c>
      <c r="B9" s="43">
        <f>9*20*10000</f>
        <v>1800000</v>
      </c>
      <c r="C9" s="44" t="s">
        <v>61</v>
      </c>
      <c r="E9" t="s">
        <v>93</v>
      </c>
    </row>
    <row r="10" spans="1:11">
      <c r="A10" s="24" t="s">
        <v>62</v>
      </c>
      <c r="B10" s="43">
        <f>30000*20*8</f>
        <v>4800000</v>
      </c>
      <c r="C10" s="44" t="s">
        <v>163</v>
      </c>
      <c r="E10" s="6" t="s">
        <v>94</v>
      </c>
      <c r="F10" s="6" t="s">
        <v>95</v>
      </c>
      <c r="G10" s="6" t="s">
        <v>82</v>
      </c>
      <c r="I10" s="13"/>
    </row>
    <row r="11" spans="1:11">
      <c r="A11" s="40" t="s">
        <v>63</v>
      </c>
      <c r="B11" s="41">
        <f>B12</f>
        <v>300000</v>
      </c>
      <c r="C11" s="42"/>
      <c r="E11" s="9">
        <f>SUM(E12:E14)</f>
        <v>84390000</v>
      </c>
      <c r="F11" s="21">
        <f>B37</f>
        <v>70746800</v>
      </c>
      <c r="G11" s="21">
        <f>E11-F11</f>
        <v>13643200</v>
      </c>
      <c r="H11" s="13"/>
      <c r="I11" s="22"/>
      <c r="J11" s="1">
        <f>I11/2</f>
        <v>0</v>
      </c>
      <c r="K11" s="1">
        <f>J11*15</f>
        <v>0</v>
      </c>
    </row>
    <row r="12" spans="1:11">
      <c r="A12" s="24" t="s">
        <v>64</v>
      </c>
      <c r="B12" s="43">
        <v>300000</v>
      </c>
      <c r="C12" s="44" t="s">
        <v>65</v>
      </c>
      <c r="E12" s="1">
        <v>72000000</v>
      </c>
    </row>
    <row r="13" spans="1:11">
      <c r="A13" s="40" t="s">
        <v>89</v>
      </c>
      <c r="B13" s="41">
        <f>SUM(B14:B25)</f>
        <v>23584800</v>
      </c>
      <c r="C13" s="42"/>
      <c r="E13" s="1">
        <f>990000*11</f>
        <v>10890000</v>
      </c>
      <c r="F13" s="22"/>
    </row>
    <row r="14" spans="1:11">
      <c r="A14" s="24" t="s">
        <v>143</v>
      </c>
      <c r="B14" s="43">
        <v>7910000</v>
      </c>
      <c r="C14" s="44" t="s">
        <v>79</v>
      </c>
      <c r="E14">
        <v>1500000</v>
      </c>
      <c r="F14" s="8"/>
    </row>
    <row r="15" spans="1:11">
      <c r="A15" s="24" t="s">
        <v>145</v>
      </c>
      <c r="B15" s="43">
        <v>5768400</v>
      </c>
      <c r="C15" s="45" t="s">
        <v>142</v>
      </c>
      <c r="E15" s="22"/>
    </row>
    <row r="16" spans="1:11">
      <c r="A16" s="24" t="s">
        <v>146</v>
      </c>
      <c r="B16" s="43">
        <v>1337600</v>
      </c>
      <c r="C16" s="44" t="s">
        <v>135</v>
      </c>
      <c r="E16" s="1"/>
      <c r="G16" s="13"/>
      <c r="H16" s="1">
        <f>25*20000*9</f>
        <v>4500000</v>
      </c>
    </row>
    <row r="17" spans="1:8">
      <c r="A17" s="24" t="s">
        <v>147</v>
      </c>
      <c r="B17" s="43">
        <v>851200</v>
      </c>
      <c r="C17" s="44" t="s">
        <v>136</v>
      </c>
      <c r="E17" s="13"/>
    </row>
    <row r="18" spans="1:8">
      <c r="A18" s="24" t="s">
        <v>148</v>
      </c>
      <c r="B18" s="34">
        <v>1094400</v>
      </c>
      <c r="C18" s="44" t="s">
        <v>90</v>
      </c>
      <c r="H18" s="1">
        <f>145*4*1500</f>
        <v>870000</v>
      </c>
    </row>
    <row r="19" spans="1:8">
      <c r="A19" s="24" t="s">
        <v>149</v>
      </c>
      <c r="B19" s="43">
        <v>957600</v>
      </c>
      <c r="C19" s="44" t="s">
        <v>137</v>
      </c>
    </row>
    <row r="20" spans="1:8">
      <c r="A20" s="24" t="s">
        <v>150</v>
      </c>
      <c r="B20" s="43">
        <v>425600</v>
      </c>
      <c r="C20" s="44" t="s">
        <v>138</v>
      </c>
    </row>
    <row r="21" spans="1:8">
      <c r="A21" s="24" t="s">
        <v>151</v>
      </c>
      <c r="B21" s="43">
        <v>600000</v>
      </c>
      <c r="C21" s="44" t="s">
        <v>80</v>
      </c>
    </row>
    <row r="22" spans="1:8">
      <c r="A22" s="24" t="s">
        <v>162</v>
      </c>
      <c r="B22" s="43">
        <v>200000</v>
      </c>
      <c r="C22" s="44" t="s">
        <v>139</v>
      </c>
      <c r="F22" s="1">
        <f>10000*4*15</f>
        <v>600000</v>
      </c>
    </row>
    <row r="23" spans="1:8">
      <c r="A23" s="24" t="s">
        <v>154</v>
      </c>
      <c r="B23" s="43">
        <v>1540000</v>
      </c>
      <c r="C23" s="44" t="s">
        <v>141</v>
      </c>
    </row>
    <row r="24" spans="1:8">
      <c r="A24" s="24" t="s">
        <v>155</v>
      </c>
      <c r="B24" s="43">
        <v>900000</v>
      </c>
      <c r="C24" s="44" t="s">
        <v>109</v>
      </c>
    </row>
    <row r="25" spans="1:8">
      <c r="A25" s="24" t="s">
        <v>159</v>
      </c>
      <c r="B25" s="43">
        <v>2000000</v>
      </c>
      <c r="C25" s="44"/>
    </row>
    <row r="26" spans="1:8">
      <c r="A26" s="40" t="s">
        <v>22</v>
      </c>
      <c r="B26" s="41">
        <f>SUM(B27:B31)</f>
        <v>4600000</v>
      </c>
      <c r="C26" s="42"/>
    </row>
    <row r="27" spans="1:8">
      <c r="A27" s="24" t="s">
        <v>66</v>
      </c>
      <c r="B27" s="43">
        <f>50*40000</f>
        <v>2000000</v>
      </c>
      <c r="C27" s="44" t="s">
        <v>67</v>
      </c>
    </row>
    <row r="28" spans="1:8">
      <c r="A28" s="24" t="s">
        <v>97</v>
      </c>
      <c r="B28" s="43">
        <v>500000</v>
      </c>
      <c r="C28" s="44" t="s">
        <v>68</v>
      </c>
    </row>
    <row r="29" spans="1:8">
      <c r="A29" s="24" t="s">
        <v>62</v>
      </c>
      <c r="B29" s="43">
        <v>1500000</v>
      </c>
      <c r="C29" s="44" t="s">
        <v>69</v>
      </c>
    </row>
    <row r="30" spans="1:8" ht="19.5">
      <c r="A30" s="24" t="s">
        <v>70</v>
      </c>
      <c r="B30" s="43">
        <v>500000</v>
      </c>
      <c r="C30" s="44" t="s">
        <v>71</v>
      </c>
      <c r="E30" s="49">
        <v>111250000</v>
      </c>
      <c r="F30" s="49">
        <v>79169600</v>
      </c>
      <c r="G30" s="48">
        <f>E30-F30</f>
        <v>32080400</v>
      </c>
    </row>
    <row r="31" spans="1:8">
      <c r="A31" s="24" t="s">
        <v>72</v>
      </c>
      <c r="B31" s="43">
        <v>100000</v>
      </c>
      <c r="C31" s="44" t="s">
        <v>73</v>
      </c>
    </row>
    <row r="32" spans="1:8">
      <c r="A32" s="40" t="s">
        <v>81</v>
      </c>
      <c r="B32" s="41">
        <f>B33+B34</f>
        <v>912000</v>
      </c>
      <c r="C32" s="42"/>
    </row>
    <row r="33" spans="1:3">
      <c r="A33" s="24" t="s">
        <v>98</v>
      </c>
      <c r="B33" s="43">
        <f>40000*2*6+10000*5*6</f>
        <v>780000</v>
      </c>
      <c r="C33" s="44" t="s">
        <v>100</v>
      </c>
    </row>
    <row r="34" spans="1:3">
      <c r="A34" s="24" t="s">
        <v>74</v>
      </c>
      <c r="B34" s="43">
        <v>132000</v>
      </c>
      <c r="C34" s="44" t="s">
        <v>75</v>
      </c>
    </row>
    <row r="35" spans="1:3">
      <c r="A35" s="40" t="s">
        <v>76</v>
      </c>
      <c r="B35" s="41">
        <f>B36</f>
        <v>3000000</v>
      </c>
      <c r="C35" s="47"/>
    </row>
    <row r="36" spans="1:3">
      <c r="A36" s="24" t="s">
        <v>77</v>
      </c>
      <c r="B36" s="43">
        <v>3000000</v>
      </c>
      <c r="C36" s="44" t="s">
        <v>99</v>
      </c>
    </row>
    <row r="37" spans="1:3">
      <c r="A37" s="40" t="s">
        <v>24</v>
      </c>
      <c r="B37" s="41">
        <f>B3+B6+B8+B11+B13+B26+B32+B35</f>
        <v>70746800</v>
      </c>
      <c r="C37" s="47"/>
    </row>
    <row r="39" spans="1:3">
      <c r="B39" s="1">
        <f>B37-B3</f>
        <v>42996800</v>
      </c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8158-C797-404A-9300-12B1951F17F2}">
  <dimension ref="A2:N34"/>
  <sheetViews>
    <sheetView tabSelected="1" topLeftCell="C1" workbookViewId="0">
      <selection activeCell="L14" sqref="L14"/>
    </sheetView>
  </sheetViews>
  <sheetFormatPr defaultRowHeight="16.5"/>
  <cols>
    <col min="1" max="1" width="20.625" customWidth="1"/>
    <col min="2" max="2" width="14.125" customWidth="1"/>
    <col min="3" max="3" width="9.875" customWidth="1"/>
    <col min="4" max="4" width="12.5" customWidth="1"/>
    <col min="5" max="5" width="14.625" customWidth="1"/>
    <col min="6" max="6" width="15.625" style="1" customWidth="1"/>
    <col min="7" max="7" width="15.125" customWidth="1"/>
    <col min="8" max="8" width="14.375" customWidth="1"/>
    <col min="9" max="9" width="10.875" bestFit="1" customWidth="1"/>
    <col min="10" max="10" width="22.75" bestFit="1" customWidth="1"/>
    <col min="11" max="11" width="13.625" bestFit="1" customWidth="1"/>
    <col min="12" max="13" width="12.625" bestFit="1" customWidth="1"/>
    <col min="14" max="14" width="15.125" bestFit="1" customWidth="1"/>
  </cols>
  <sheetData>
    <row r="2" spans="1:14">
      <c r="A2" s="28" t="s">
        <v>110</v>
      </c>
      <c r="B2" s="29" t="s">
        <v>111</v>
      </c>
      <c r="C2" s="29" t="s">
        <v>112</v>
      </c>
      <c r="D2" s="29" t="s">
        <v>113</v>
      </c>
      <c r="E2" s="29" t="s">
        <v>114</v>
      </c>
      <c r="F2" s="29" t="s">
        <v>130</v>
      </c>
      <c r="G2" t="s">
        <v>131</v>
      </c>
      <c r="H2" t="s">
        <v>132</v>
      </c>
      <c r="I2">
        <v>14</v>
      </c>
    </row>
    <row r="3" spans="1:14" ht="17.25">
      <c r="A3" s="30" t="s">
        <v>115</v>
      </c>
      <c r="B3" s="31">
        <v>360000</v>
      </c>
      <c r="C3" s="31"/>
      <c r="D3" s="31" t="s">
        <v>116</v>
      </c>
      <c r="E3" s="31">
        <v>30</v>
      </c>
      <c r="F3" s="31">
        <f>B3*E3</f>
        <v>10800000</v>
      </c>
      <c r="G3" s="34">
        <v>7200000</v>
      </c>
      <c r="H3" s="34">
        <v>5400000</v>
      </c>
      <c r="I3" s="34">
        <f>B3*14</f>
        <v>5040000</v>
      </c>
      <c r="J3" s="17" t="s">
        <v>0</v>
      </c>
      <c r="K3" s="17" t="s">
        <v>83</v>
      </c>
      <c r="L3" s="17" t="s">
        <v>87</v>
      </c>
      <c r="M3" s="17" t="s">
        <v>88</v>
      </c>
      <c r="N3" s="17" t="s">
        <v>24</v>
      </c>
    </row>
    <row r="4" spans="1:14" ht="17.25">
      <c r="A4" s="30" t="s">
        <v>117</v>
      </c>
      <c r="B4" s="31">
        <v>115000</v>
      </c>
      <c r="C4" s="31"/>
      <c r="D4" s="31"/>
      <c r="E4" s="31">
        <v>30</v>
      </c>
      <c r="F4" s="31">
        <f t="shared" ref="F4" si="0">B4*E4</f>
        <v>3450000</v>
      </c>
      <c r="G4" s="34">
        <v>2300000</v>
      </c>
      <c r="H4" s="34">
        <v>1725000</v>
      </c>
      <c r="I4" s="34">
        <f>B4*13</f>
        <v>1495000</v>
      </c>
      <c r="J4" s="15" t="s">
        <v>84</v>
      </c>
      <c r="K4" s="20">
        <v>30</v>
      </c>
      <c r="L4" s="16">
        <f>M4*0.8</f>
        <v>2800000</v>
      </c>
      <c r="M4" s="16">
        <v>3500000</v>
      </c>
      <c r="N4" s="16">
        <f>L4*23+M4*7</f>
        <v>88900000</v>
      </c>
    </row>
    <row r="5" spans="1:14" ht="17.25">
      <c r="A5" s="30" t="s">
        <v>118</v>
      </c>
      <c r="B5" s="32">
        <v>115</v>
      </c>
      <c r="C5" s="31">
        <v>3</v>
      </c>
      <c r="D5" s="31">
        <v>1520</v>
      </c>
      <c r="E5" s="33">
        <v>16</v>
      </c>
      <c r="F5" s="34">
        <f>B5*C5*E5*D5</f>
        <v>8390400</v>
      </c>
      <c r="G5" s="34">
        <v>5768400</v>
      </c>
      <c r="H5" s="34">
        <v>4195200</v>
      </c>
      <c r="I5" s="34">
        <f>B5*C5*D5*8</f>
        <v>4195200</v>
      </c>
      <c r="J5" s="15" t="s">
        <v>85</v>
      </c>
      <c r="K5" s="20">
        <v>18</v>
      </c>
      <c r="L5" s="16">
        <v>990000</v>
      </c>
      <c r="M5" s="16">
        <v>0</v>
      </c>
      <c r="N5" s="16">
        <f>K5*L5</f>
        <v>17820000</v>
      </c>
    </row>
    <row r="6" spans="1:14" ht="17.25">
      <c r="A6" s="30" t="s">
        <v>119</v>
      </c>
      <c r="B6" s="32">
        <v>220</v>
      </c>
      <c r="C6" s="31">
        <v>4</v>
      </c>
      <c r="D6" s="31">
        <v>1520</v>
      </c>
      <c r="E6" s="31">
        <v>1</v>
      </c>
      <c r="F6" s="34">
        <f t="shared" ref="F6:F9" si="1">B6*C6*E6*D6</f>
        <v>1337600</v>
      </c>
      <c r="G6" s="34">
        <v>1337600</v>
      </c>
      <c r="H6" s="34">
        <v>1337600</v>
      </c>
      <c r="I6" s="34">
        <v>1337600</v>
      </c>
      <c r="J6" s="15" t="s">
        <v>86</v>
      </c>
      <c r="K6" s="20">
        <v>10</v>
      </c>
      <c r="L6" s="16">
        <v>1500000</v>
      </c>
      <c r="M6" s="16">
        <v>0</v>
      </c>
      <c r="N6" s="16">
        <f>K6*L6</f>
        <v>15000000</v>
      </c>
    </row>
    <row r="7" spans="1:14" ht="17.25">
      <c r="A7" s="30" t="s">
        <v>120</v>
      </c>
      <c r="B7" s="32">
        <v>140</v>
      </c>
      <c r="C7" s="31">
        <v>4</v>
      </c>
      <c r="D7" s="31">
        <v>1520</v>
      </c>
      <c r="E7" s="31">
        <v>1</v>
      </c>
      <c r="F7" s="34">
        <f t="shared" si="1"/>
        <v>851200</v>
      </c>
      <c r="G7" s="34">
        <v>851200</v>
      </c>
      <c r="H7" s="34">
        <v>851200</v>
      </c>
      <c r="I7" s="34">
        <v>851200</v>
      </c>
      <c r="J7" t="s">
        <v>92</v>
      </c>
      <c r="K7" s="19"/>
      <c r="L7" s="19"/>
      <c r="M7" s="19"/>
      <c r="N7" s="18">
        <f>SUM(N4:N6)</f>
        <v>121720000</v>
      </c>
    </row>
    <row r="8" spans="1:14">
      <c r="A8" s="30" t="s">
        <v>121</v>
      </c>
      <c r="B8" s="32">
        <v>120</v>
      </c>
      <c r="C8" s="31">
        <v>2</v>
      </c>
      <c r="D8" s="31">
        <v>1520</v>
      </c>
      <c r="E8" s="35">
        <v>2</v>
      </c>
      <c r="F8" s="34">
        <f t="shared" si="1"/>
        <v>729600</v>
      </c>
      <c r="G8" s="34">
        <v>1094400</v>
      </c>
      <c r="H8" s="34">
        <v>1094400</v>
      </c>
      <c r="I8" s="34">
        <v>1094400</v>
      </c>
    </row>
    <row r="9" spans="1:14">
      <c r="A9" s="30" t="s">
        <v>122</v>
      </c>
      <c r="B9" s="32">
        <v>15</v>
      </c>
      <c r="C9" s="31">
        <v>3</v>
      </c>
      <c r="D9" s="31">
        <v>1520</v>
      </c>
      <c r="E9" s="31">
        <v>14</v>
      </c>
      <c r="F9" s="34">
        <f t="shared" si="1"/>
        <v>957600</v>
      </c>
      <c r="G9" s="34">
        <v>1368000</v>
      </c>
      <c r="H9" s="34">
        <v>1026000</v>
      </c>
      <c r="I9" s="34">
        <f>B9*C9*D9*E9</f>
        <v>957600</v>
      </c>
    </row>
    <row r="10" spans="1:14">
      <c r="A10" s="30" t="s">
        <v>123</v>
      </c>
      <c r="B10" s="32">
        <v>20</v>
      </c>
      <c r="C10" s="31">
        <v>1</v>
      </c>
      <c r="D10" s="31">
        <v>1520</v>
      </c>
      <c r="E10" s="31">
        <v>14</v>
      </c>
      <c r="F10" s="34">
        <f>B10*C10*E10*D10</f>
        <v>425600</v>
      </c>
      <c r="G10" s="34">
        <v>608000</v>
      </c>
      <c r="H10" s="34">
        <v>456000</v>
      </c>
      <c r="I10" s="34">
        <f>B10*D10*E10</f>
        <v>425600</v>
      </c>
    </row>
    <row r="11" spans="1:14">
      <c r="A11" s="30" t="s">
        <v>124</v>
      </c>
      <c r="B11" s="34">
        <v>30000</v>
      </c>
      <c r="C11" s="31"/>
      <c r="D11" s="31"/>
      <c r="E11" s="31">
        <v>14</v>
      </c>
      <c r="F11" s="34">
        <f>B11*E11</f>
        <v>420000</v>
      </c>
      <c r="G11" s="34">
        <v>600000</v>
      </c>
      <c r="H11" s="34">
        <v>450000</v>
      </c>
      <c r="I11" s="34">
        <f>B11*E11</f>
        <v>420000</v>
      </c>
    </row>
    <row r="12" spans="1:14">
      <c r="A12" s="30" t="s">
        <v>125</v>
      </c>
      <c r="B12" s="31">
        <v>10000</v>
      </c>
      <c r="C12" s="31"/>
      <c r="D12" s="31"/>
      <c r="E12" s="31">
        <v>14</v>
      </c>
      <c r="F12" s="31">
        <f>B12*E12</f>
        <v>140000</v>
      </c>
      <c r="G12" s="34">
        <v>200000</v>
      </c>
      <c r="H12" s="34">
        <v>150000</v>
      </c>
      <c r="I12" s="34">
        <f>B12*E12</f>
        <v>140000</v>
      </c>
    </row>
    <row r="13" spans="1:14">
      <c r="A13" s="30" t="s">
        <v>126</v>
      </c>
      <c r="B13" s="31">
        <v>110000</v>
      </c>
      <c r="C13" s="31">
        <v>1</v>
      </c>
      <c r="D13" s="31"/>
      <c r="E13" s="31">
        <v>14</v>
      </c>
      <c r="F13" s="31">
        <f t="shared" ref="F13" si="2">B13*E13</f>
        <v>1540000</v>
      </c>
      <c r="G13" s="34">
        <v>2200000</v>
      </c>
      <c r="H13" s="34">
        <v>1650000</v>
      </c>
      <c r="I13" s="34">
        <f>B13*E13</f>
        <v>1540000</v>
      </c>
    </row>
    <row r="14" spans="1:14">
      <c r="A14" s="25"/>
      <c r="B14" s="27"/>
      <c r="C14" s="27"/>
      <c r="D14" s="27"/>
      <c r="E14" s="27"/>
      <c r="F14" s="34">
        <f>SUM(F3:F13)</f>
        <v>29042000</v>
      </c>
      <c r="G14" s="34">
        <v>27727600</v>
      </c>
      <c r="H14" s="34">
        <v>22535400</v>
      </c>
      <c r="I14" s="34">
        <f>SUM(I3:I13)</f>
        <v>17496600</v>
      </c>
    </row>
    <row r="15" spans="1:14">
      <c r="A15" s="25"/>
      <c r="B15" s="27"/>
      <c r="C15" s="27"/>
      <c r="D15" s="27"/>
      <c r="E15" s="27"/>
      <c r="F15" s="26"/>
      <c r="G15" s="34">
        <f>N5+N6</f>
        <v>32820000</v>
      </c>
      <c r="I15" s="34"/>
      <c r="J15" s="1">
        <f>15*500000</f>
        <v>7500000</v>
      </c>
    </row>
    <row r="16" spans="1:14">
      <c r="A16" s="25"/>
      <c r="B16" s="27"/>
      <c r="C16" s="27"/>
      <c r="D16" s="27"/>
      <c r="E16" s="27"/>
      <c r="F16" s="26"/>
      <c r="G16" s="34">
        <f>G15+J15</f>
        <v>40320000</v>
      </c>
      <c r="I16" s="34"/>
    </row>
    <row r="17" spans="1:12">
      <c r="A17" s="25"/>
      <c r="B17" s="27"/>
      <c r="C17" s="27"/>
      <c r="D17" s="27"/>
      <c r="E17" s="27"/>
      <c r="F17" s="26"/>
      <c r="G17" s="26"/>
    </row>
    <row r="18" spans="1:12">
      <c r="A18" s="25"/>
      <c r="B18" s="27"/>
      <c r="C18" s="27"/>
      <c r="D18" s="27"/>
      <c r="E18" s="27" t="s">
        <v>128</v>
      </c>
      <c r="F18" s="26" t="s">
        <v>129</v>
      </c>
      <c r="G18" s="26" t="s">
        <v>127</v>
      </c>
    </row>
    <row r="19" spans="1:12" ht="22.5" customHeight="1">
      <c r="A19" s="31" t="s">
        <v>23</v>
      </c>
      <c r="B19" s="31" t="s">
        <v>29</v>
      </c>
      <c r="C19" s="31"/>
      <c r="D19" s="31" t="s">
        <v>43</v>
      </c>
      <c r="E19" s="31">
        <f>G14</f>
        <v>27727600</v>
      </c>
      <c r="F19" s="31">
        <f>H14</f>
        <v>22535400</v>
      </c>
      <c r="G19" s="31">
        <f>F14</f>
        <v>29042000</v>
      </c>
    </row>
    <row r="20" spans="1:12" ht="21" customHeight="1">
      <c r="A20" s="31"/>
      <c r="B20" s="31"/>
      <c r="C20" s="31"/>
      <c r="D20" s="31" t="s">
        <v>78</v>
      </c>
      <c r="E20" s="31">
        <f>E19/18</f>
        <v>1540422.2222222222</v>
      </c>
      <c r="F20" s="31">
        <f>F19/13</f>
        <v>1733492.3076923077</v>
      </c>
      <c r="G20" s="31">
        <f>G19/28</f>
        <v>1037214.2857142857</v>
      </c>
    </row>
    <row r="21" spans="1:12" ht="21" customHeight="1">
      <c r="A21" s="31"/>
      <c r="B21" s="31"/>
      <c r="C21" s="31"/>
      <c r="D21" s="31" t="s">
        <v>49</v>
      </c>
      <c r="E21" s="31">
        <v>600000</v>
      </c>
      <c r="F21" s="31">
        <v>700000</v>
      </c>
      <c r="G21" s="31">
        <v>500000</v>
      </c>
      <c r="J21" s="40" t="s">
        <v>89</v>
      </c>
      <c r="K21" s="41">
        <f>SUM(K22:K34)</f>
        <v>30727600</v>
      </c>
      <c r="L21" s="42"/>
    </row>
    <row r="22" spans="1:12" ht="21" customHeight="1">
      <c r="A22" s="31"/>
      <c r="B22" s="31"/>
      <c r="C22" s="31"/>
      <c r="D22" s="31" t="s">
        <v>50</v>
      </c>
      <c r="E22" s="31">
        <f>E20-E21</f>
        <v>940422.22222222225</v>
      </c>
      <c r="F22" s="31">
        <f t="shared" ref="F22:G22" si="3">F20-F21</f>
        <v>1033492.3076923077</v>
      </c>
      <c r="G22" s="31">
        <f t="shared" si="3"/>
        <v>537214.28571428568</v>
      </c>
      <c r="J22" s="24" t="s">
        <v>143</v>
      </c>
      <c r="K22" s="43">
        <v>7200000</v>
      </c>
      <c r="L22" s="44" t="s">
        <v>79</v>
      </c>
    </row>
    <row r="23" spans="1:12" ht="21" customHeight="1">
      <c r="A23" s="31"/>
      <c r="B23" s="31"/>
      <c r="C23" s="31"/>
      <c r="D23" s="31" t="s">
        <v>133</v>
      </c>
      <c r="E23" s="31">
        <v>20307000</v>
      </c>
      <c r="F23" s="31">
        <v>14910000</v>
      </c>
      <c r="G23" s="31">
        <v>32820000</v>
      </c>
      <c r="J23" s="24" t="s">
        <v>144</v>
      </c>
      <c r="K23" s="43">
        <v>2300000</v>
      </c>
      <c r="L23" s="44" t="s">
        <v>79</v>
      </c>
    </row>
    <row r="24" spans="1:12">
      <c r="D24" s="37" t="s">
        <v>134</v>
      </c>
      <c r="E24" s="31">
        <f>E21*13</f>
        <v>7800000</v>
      </c>
      <c r="F24" s="31">
        <v>5600000</v>
      </c>
      <c r="G24" s="31">
        <v>9000000</v>
      </c>
      <c r="J24" s="24" t="s">
        <v>145</v>
      </c>
      <c r="K24" s="43">
        <v>5768400</v>
      </c>
      <c r="L24" s="45" t="s">
        <v>142</v>
      </c>
    </row>
    <row r="25" spans="1:12">
      <c r="E25" s="31">
        <f>SUM(E23:E24)</f>
        <v>28107000</v>
      </c>
      <c r="F25" s="31">
        <f>SUM(F23:F24)</f>
        <v>20510000</v>
      </c>
      <c r="G25" s="31">
        <f>SUM(G23:G24)</f>
        <v>41820000</v>
      </c>
      <c r="J25" s="24" t="s">
        <v>146</v>
      </c>
      <c r="K25" s="43">
        <v>1337600</v>
      </c>
      <c r="L25" s="44" t="s">
        <v>135</v>
      </c>
    </row>
    <row r="26" spans="1:12">
      <c r="E26">
        <v>65</v>
      </c>
      <c r="F26" s="1">
        <v>80</v>
      </c>
      <c r="J26" s="24" t="s">
        <v>147</v>
      </c>
      <c r="K26" s="43">
        <v>851200</v>
      </c>
      <c r="L26" s="44" t="s">
        <v>136</v>
      </c>
    </row>
    <row r="27" spans="1:12">
      <c r="E27" s="36">
        <f>D10*E26*4</f>
        <v>395200</v>
      </c>
      <c r="F27" s="1">
        <f>F26*D10*4</f>
        <v>486400</v>
      </c>
      <c r="G27" s="36">
        <f>SUM(E27:F27)</f>
        <v>881600</v>
      </c>
      <c r="J27" s="24" t="s">
        <v>148</v>
      </c>
      <c r="K27" s="43">
        <v>1094400</v>
      </c>
      <c r="L27" s="44" t="s">
        <v>90</v>
      </c>
    </row>
    <row r="28" spans="1:12">
      <c r="J28" s="24" t="s">
        <v>149</v>
      </c>
      <c r="K28" s="43">
        <v>1368000</v>
      </c>
      <c r="L28" s="46" t="s">
        <v>137</v>
      </c>
    </row>
    <row r="29" spans="1:12">
      <c r="J29" s="24" t="s">
        <v>150</v>
      </c>
      <c r="K29" s="43">
        <v>608000</v>
      </c>
      <c r="L29" s="44" t="s">
        <v>138</v>
      </c>
    </row>
    <row r="30" spans="1:12">
      <c r="J30" s="24" t="s">
        <v>151</v>
      </c>
      <c r="K30" s="43">
        <v>600000</v>
      </c>
      <c r="L30" s="44" t="s">
        <v>80</v>
      </c>
    </row>
    <row r="31" spans="1:12">
      <c r="J31" s="24" t="s">
        <v>152</v>
      </c>
      <c r="K31" s="43">
        <v>200000</v>
      </c>
      <c r="L31" s="44" t="s">
        <v>139</v>
      </c>
    </row>
    <row r="32" spans="1:12">
      <c r="J32" s="24" t="s">
        <v>153</v>
      </c>
      <c r="K32" s="43">
        <v>4200000</v>
      </c>
      <c r="L32" s="44" t="s">
        <v>140</v>
      </c>
    </row>
    <row r="33" spans="10:12">
      <c r="J33" s="24" t="s">
        <v>154</v>
      </c>
      <c r="K33" s="43">
        <v>2200000</v>
      </c>
      <c r="L33" s="44" t="s">
        <v>141</v>
      </c>
    </row>
    <row r="34" spans="10:12">
      <c r="J34" s="24" t="s">
        <v>155</v>
      </c>
      <c r="K34" s="43">
        <v>3000000</v>
      </c>
      <c r="L34" s="44" t="s">
        <v>109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강사료</vt:lpstr>
      <vt:lpstr>예산</vt:lpstr>
      <vt:lpstr>전시회 2일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주용 정</dc:creator>
  <cp:lastModifiedBy>Innobiz</cp:lastModifiedBy>
  <cp:lastPrinted>2026-01-13T09:06:23Z</cp:lastPrinted>
  <dcterms:created xsi:type="dcterms:W3CDTF">2026-01-08T01:11:44Z</dcterms:created>
  <dcterms:modified xsi:type="dcterms:W3CDTF">2026-04-30T09:32:00Z</dcterms:modified>
</cp:coreProperties>
</file>